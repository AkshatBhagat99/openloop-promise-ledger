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c04349c01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keholders" sheetId="1" r:id="Rb9465b05537043b3"/>
    <x:sheet xmlns:r="http://schemas.openxmlformats.org/officeDocument/2006/relationships" name="RACI" sheetId="2" r:id="Ra2186b8554a941db"/>
    <x:sheet xmlns:r="http://schemas.openxmlformats.org/officeDocument/2006/relationships" name="Business_Requirements" sheetId="3" r:id="R67cf993cf1fb49bd"/>
    <x:sheet xmlns:r="http://schemas.openxmlformats.org/officeDocument/2006/relationships" name="Functional_Requirements" sheetId="4" r:id="R0f835600d51b44ee"/>
    <x:sheet xmlns:r="http://schemas.openxmlformats.org/officeDocument/2006/relationships" name="Nonfunctional_Reqs" sheetId="5" r:id="R4fbd0361ee1942b0"/>
    <x:sheet xmlns:r="http://schemas.openxmlformats.org/officeDocument/2006/relationships" name="Epics" sheetId="6" r:id="Rbb059ae8afb54059"/>
    <x:sheet xmlns:r="http://schemas.openxmlformats.org/officeDocument/2006/relationships" name="User_Stories" sheetId="7" r:id="R7462ac616e174939"/>
    <x:sheet xmlns:r="http://schemas.openxmlformats.org/officeDocument/2006/relationships" name="RTM" sheetId="8" r:id="Rab889a188b9c4711"/>
    <x:sheet xmlns:r="http://schemas.openxmlformats.org/officeDocument/2006/relationships" name="Test_Cases" sheetId="9" r:id="Rcab1c98ac2ed4b7e"/>
    <x:sheet xmlns:r="http://schemas.openxmlformats.org/officeDocument/2006/relationships" name="Risk_Register" sheetId="10" r:id="Rc8450bb598834fe4"/>
    <x:sheet xmlns:r="http://schemas.openxmlformats.org/officeDocument/2006/relationships" name="RAID_Log" sheetId="11" r:id="Raaf68a0c21e4400a"/>
    <x:sheet xmlns:r="http://schemas.openxmlformats.org/officeDocument/2006/relationships" name="Timeline" sheetId="12" r:id="R5bac5b126dc54da5"/>
    <x:sheet xmlns:r="http://schemas.openxmlformats.org/officeDocument/2006/relationships" name="Sprint_Plan" sheetId="13" r:id="Rb1664d10f97c431c"/>
    <x:sheet xmlns:r="http://schemas.openxmlformats.org/officeDocument/2006/relationships" name="Change_Requests" sheetId="14" r:id="Rb1695400e05b4b4a"/>
    <x:sheet xmlns:r="http://schemas.openxmlformats.org/officeDocument/2006/relationships" name="Defect_Log" sheetId="15" r:id="R458b2a6e635c4a46"/>
    <x:sheet xmlns:r="http://schemas.openxmlformats.org/officeDocument/2006/relationships" name="Executive_Control" sheetId="16" r:id="R0ce154202dc540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3af8569f314432" /><Relationship Type="http://schemas.openxmlformats.org/officeDocument/2006/relationships/theme" Target="/xl/theme/theme1.xml" Id="R2663ff0e48294bf7" /><Relationship Type="http://schemas.openxmlformats.org/officeDocument/2006/relationships/sharedStrings" Target="/xl/sharedStrings.xml" Id="R45a7f339f1854ec8" /><Relationship Type="http://schemas.openxmlformats.org/officeDocument/2006/relationships/worksheet" Target="/xl/worksheets/sheet1.xml" Id="Rb9465b05537043b3" /><Relationship Type="http://schemas.openxmlformats.org/officeDocument/2006/relationships/worksheet" Target="/xl/worksheets/sheet2.xml" Id="Ra2186b8554a941db" /><Relationship Type="http://schemas.openxmlformats.org/officeDocument/2006/relationships/worksheet" Target="/xl/worksheets/sheet3.xml" Id="R67cf993cf1fb49bd" /><Relationship Type="http://schemas.openxmlformats.org/officeDocument/2006/relationships/worksheet" Target="/xl/worksheets/sheet4.xml" Id="R0f835600d51b44ee" /><Relationship Type="http://schemas.openxmlformats.org/officeDocument/2006/relationships/worksheet" Target="/xl/worksheets/sheet5.xml" Id="R4fbd0361ee1942b0" /><Relationship Type="http://schemas.openxmlformats.org/officeDocument/2006/relationships/worksheet" Target="/xl/worksheets/sheet6.xml" Id="Rbb059ae8afb54059" /><Relationship Type="http://schemas.openxmlformats.org/officeDocument/2006/relationships/worksheet" Target="/xl/worksheets/sheet7.xml" Id="R7462ac616e174939" /><Relationship Type="http://schemas.openxmlformats.org/officeDocument/2006/relationships/worksheet" Target="/xl/worksheets/sheet8.xml" Id="Rab889a188b9c4711" /><Relationship Type="http://schemas.openxmlformats.org/officeDocument/2006/relationships/worksheet" Target="/xl/worksheets/sheet9.xml" Id="Rcab1c98ac2ed4b7e" /><Relationship Type="http://schemas.openxmlformats.org/officeDocument/2006/relationships/worksheet" Target="/xl/worksheets/sheet10.xml" Id="Rc8450bb598834fe4" /><Relationship Type="http://schemas.openxmlformats.org/officeDocument/2006/relationships/worksheet" Target="/xl/worksheets/sheet11.xml" Id="Raaf68a0c21e4400a" /><Relationship Type="http://schemas.openxmlformats.org/officeDocument/2006/relationships/worksheet" Target="/xl/worksheets/sheet12.xml" Id="R5bac5b126dc54da5" /><Relationship Type="http://schemas.openxmlformats.org/officeDocument/2006/relationships/worksheet" Target="/xl/worksheets/sheet13.xml" Id="Rb1664d10f97c431c" /><Relationship Type="http://schemas.openxmlformats.org/officeDocument/2006/relationships/worksheet" Target="/xl/worksheets/sheet14.xml" Id="Rb1695400e05b4b4a" /><Relationship Type="http://schemas.openxmlformats.org/officeDocument/2006/relationships/worksheet" Target="/xl/worksheets/sheet15.xml" Id="R458b2a6e635c4a46" /><Relationship Type="http://schemas.openxmlformats.org/officeDocument/2006/relationships/worksheet" Target="/xl/worksheets/sheet16.xml" Id="R0ce154202dc540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82ad2db47a4d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Requirements by MoSCoW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BR Count</c:v>
          </c:tx>
          <c:cat>
            <c:strRef>
              <c:f>'Executive_Control'!$D$5:$D$8</c:f>
              <c:strCache>
                <c:ptCount val="0"/>
              </c:strCache>
            </c:strRef>
          </c:cat>
          <c:val>
            <c:numRef>
              <c:f>'Executive_Control'!$E$5:$E$8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FR Count</c:v>
          </c:tx>
          <c:cat>
            <c:strRef>
              <c:f>'Executive_Control'!$D$5:$D$8</c:f>
              <c:strCache>
                <c:ptCount val="0"/>
              </c:strCache>
            </c:strRef>
          </c:cat>
          <c:val>
            <c:numRef>
              <c:f>'Executive_Control'!$F$5:$F$8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82ad2db47a4d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keholdersTable" displayName="StakeholdersTable" ref="A1:H13" headerRowCount="1">
  <x:tableColumns count="8">
    <x:tableColumn id="1" name="stakeholder_id"/>
    <x:tableColumn id="2" name="role"/>
    <x:tableColumn id="3" name="responsibilities"/>
    <x:tableColumn id="4" name="pain_points"/>
    <x:tableColumn id="5" name="expectations"/>
    <x:tableColumn id="6" name="influence"/>
    <x:tableColumn id="7" name="interest"/>
    <x:tableColumn id="8" name="communication_plan"/>
  </x:tableColumns>
  <x:tableStyleInfo name="TableStyleMedium2" showRowStripes="1"/>
</x:table>
</file>

<file path=xl/tables/table2.xml><?xml version="1.0" encoding="utf-8"?>
<x:table xmlns:x="http://schemas.openxmlformats.org/spreadsheetml/2006/main" id="2" name="RACITable" displayName="RACITable" ref="A1:M15" headerRowCount="1">
  <x:tableColumns count="13">
    <x:tableColumn id="1" name="activity"/>
    <x:tableColumn id="2" name="Executive Sponsor"/>
    <x:tableColumn id="3" name="Product Owner"/>
    <x:tableColumn id="4" name="Business Analyst"/>
    <x:tableColumn id="5" name="Solution Architect"/>
    <x:tableColumn id="6" name="Engineering Lead"/>
    <x:tableColumn id="7" name="ML Lead"/>
    <x:tableColumn id="8" name="Security"/>
    <x:tableColumn id="9" name="Privacy/Legal"/>
    <x:tableColumn id="10" name="Data Governance"/>
    <x:tableColumn id="11" name="QA Lead"/>
    <x:tableColumn id="12" name="Change Lead"/>
    <x:tableColumn id="13" name="Operations"/>
  </x:tableColumns>
  <x:tableStyleInfo name="TableStyleMedium2" showRowStripes="1"/>
</x:table>
</file>

<file path=xl/tables/table3.xml><?xml version="1.0" encoding="utf-8"?>
<x:table xmlns:x="http://schemas.openxmlformats.org/spreadsheetml/2006/main" id="3" name="BusinessRequirementsTable" displayName="BusinessRequirementsTable" ref="A1:G19" headerRowCount="1">
  <x:tableColumns count="7">
    <x:tableColumn id="1" name="requirement_id"/>
    <x:tableColumn id="2" name="name"/>
    <x:tableColumn id="3" name="requirement"/>
    <x:tableColumn id="4" name="moscow"/>
    <x:tableColumn id="5" name="owner"/>
    <x:tableColumn id="6" name="status"/>
    <x:tableColumn id="7" name="version"/>
  </x:tableColumns>
  <x:tableStyleInfo name="TableStyleMedium2" showRowStripes="1"/>
</x:table>
</file>

<file path=xl/tables/table4.xml><?xml version="1.0" encoding="utf-8"?>
<x:table xmlns:x="http://schemas.openxmlformats.org/spreadsheetml/2006/main" id="4" name="FunctionalRequirementsTable" displayName="FunctionalRequirementsTable" ref="A1:G31" headerRowCount="1">
  <x:tableColumns count="7">
    <x:tableColumn id="1" name="requirement_id"/>
    <x:tableColumn id="2" name="name"/>
    <x:tableColumn id="3" name="requirement"/>
    <x:tableColumn id="4" name="parent_br"/>
    <x:tableColumn id="5" name="priority"/>
    <x:tableColumn id="6" name="epic_id"/>
    <x:tableColumn id="7" name="dependency"/>
  </x:tableColumns>
  <x:tableStyleInfo name="TableStyleMedium2" showRowStripes="1"/>
</x:table>
</file>

<file path=xl/tables/table5.xml><?xml version="1.0" encoding="utf-8"?>
<x:table xmlns:x="http://schemas.openxmlformats.org/spreadsheetml/2006/main" id="5" name="NFRTable" displayName="NFRTable" ref="A1:E16" headerRowCount="1">
  <x:tableColumns count="5">
    <x:tableColumn id="1" name="requirement_id"/>
    <x:tableColumn id="2" name="category"/>
    <x:tableColumn id="3" name="requirement"/>
    <x:tableColumn id="4" name="parent_br"/>
    <x:tableColumn id="5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EpicsTable" displayName="EpicsTable" ref="A1:C9" headerRowCount="1">
  <x:tableColumns count="3">
    <x:tableColumn id="1" name="epic_id"/>
    <x:tableColumn id="2" name="epic_name"/>
    <x:tableColumn id="3" name="outcome"/>
  </x:tableColumns>
  <x:tableStyleInfo name="TableStyleMedium2" showRowStripes="1"/>
</x:table>
</file>

<file path=xl/tables/table7.xml><?xml version="1.0" encoding="utf-8"?>
<x:table xmlns:x="http://schemas.openxmlformats.org/spreadsheetml/2006/main" id="7" name="UserStoriesTable" displayName="UserStoriesTable" ref="A1:I25" headerRowCount="1">
  <x:tableColumns count="9">
    <x:tableColumn id="1" name="story_id"/>
    <x:tableColumn id="2" name="epic_id"/>
    <x:tableColumn id="3" name="user_story"/>
    <x:tableColumn id="4" name="moscow"/>
    <x:tableColumn id="5" name="story_points"/>
    <x:tableColumn id="6" name="primary_fr"/>
    <x:tableColumn id="7" name="invest"/>
    <x:tableColumn id="8" name="status"/>
    <x:tableColumn id="9" name="release"/>
  </x:tableColumns>
  <x:tableStyleInfo name="TableStyleMedium2" showRowStripes="1"/>
</x:table>
</file>

<file path=xl/tables/table8.xml><?xml version="1.0" encoding="utf-8"?>
<x:table xmlns:x="http://schemas.openxmlformats.org/spreadsheetml/2006/main" id="8" name="RTMTable" displayName="RTMTable" ref="A1:H31" headerRowCount="1">
  <x:tableColumns count="8">
    <x:tableColumn id="1" name="fr_id"/>
    <x:tableColumn id="2" name="br_id"/>
    <x:tableColumn id="3" name="epic_id"/>
    <x:tableColumn id="4" name="user_stories"/>
    <x:tableColumn id="5" name="data_objects"/>
    <x:tableColumn id="6" name="test_cases"/>
    <x:tableColumn id="7" name="dashboard_or_report"/>
    <x:tableColumn id="8" name="status"/>
  </x:tableColumns>
  <x:tableStyleInfo name="TableStyleMedium2" showRowStripes="1"/>
</x:table>
</file>

<file path=xl/tables/table9.xml><?xml version="1.0" encoding="utf-8"?>
<x:table xmlns:x="http://schemas.openxmlformats.org/spreadsheetml/2006/main" id="9" name="TestCasesTable" displayName="TestCasesTable" ref="A1:H31" headerRowCount="1">
  <x:tableColumns count="8">
    <x:tableColumn id="1" name="test_case_id"/>
    <x:tableColumn id="2" name="requirement_id"/>
    <x:tableColumn id="3" name="scenario"/>
    <x:tableColumn id="4" name="precondition"/>
    <x:tableColumn id="5" name="expected_result"/>
    <x:tableColumn id="6" name="test_type"/>
    <x:tableColumn id="7" name="status"/>
    <x:tableColumn id="8" name="severity"/>
  </x:tableColumns>
  <x:tableStyleInfo name="TableStyleMedium2" showRowStripes="1"/>
</x:table>
</file>

<file path=xl/tables/table10.xml><?xml version="1.0" encoding="utf-8"?>
<x:table xmlns:x="http://schemas.openxmlformats.org/spreadsheetml/2006/main" id="10" name="RiskRegisterTable" displayName="RiskRegisterTable" ref="A1:H11" headerRowCount="1">
  <x:tableColumns count="8">
    <x:tableColumn id="1" name="risk_id"/>
    <x:tableColumn id="2" name="category"/>
    <x:tableColumn id="3" name="risk"/>
    <x:tableColumn id="4" name="probability"/>
    <x:tableColumn id="5" name="impact"/>
    <x:tableColumn id="6" name="score"/>
    <x:tableColumn id="7" name="mitigation"/>
    <x:tableColumn id="8" name="owner"/>
  </x:tableColumns>
  <x:tableStyleInfo name="TableStyleMedium2" showRowStripes="1"/>
</x:table>
</file>

<file path=xl/tables/table11.xml><?xml version="1.0" encoding="utf-8"?>
<x:table xmlns:x="http://schemas.openxmlformats.org/spreadsheetml/2006/main" id="11" name="RAIDTable" displayName="RAIDTable" ref="A1:G9" headerRowCount="1">
  <x:tableColumns count="7">
    <x:tableColumn id="1" name="raid_id"/>
    <x:tableColumn id="2" name="type"/>
    <x:tableColumn id="3" name="description"/>
    <x:tableColumn id="4" name="owner"/>
    <x:tableColumn id="5" name="due_date"/>
    <x:tableColumn id="6" name="status"/>
    <x:tableColumn id="7" name="impact"/>
  </x:tableColumns>
  <x:tableStyleInfo name="TableStyleMedium2" showRowStripes="1"/>
</x:table>
</file>

<file path=xl/tables/table12.xml><?xml version="1.0" encoding="utf-8"?>
<x:table xmlns:x="http://schemas.openxmlformats.org/spreadsheetml/2006/main" id="12" name="TimelineTable" displayName="TimelineTable" ref="A1:E9" headerRowCount="1">
  <x:tableColumns count="5">
    <x:tableColumn id="1" name="phase"/>
    <x:tableColumn id="2" name="start"/>
    <x:tableColumn id="3" name="end"/>
    <x:tableColumn id="4" name="duration_weeks"/>
    <x:tableColumn id="5" name="deliverables"/>
  </x:tableColumns>
  <x:tableStyleInfo name="TableStyleMedium2" showRowStripes="1"/>
</x:table>
</file>

<file path=xl/tables/table13.xml><?xml version="1.0" encoding="utf-8"?>
<x:table xmlns:x="http://schemas.openxmlformats.org/spreadsheetml/2006/main" id="13" name="SprintPlanTable" displayName="SprintPlanTable" ref="A1:G11" headerRowCount="1">
  <x:tableColumns count="7">
    <x:tableColumn id="1" name="sprint"/>
    <x:tableColumn id="2" name="start"/>
    <x:tableColumn id="3" name="end"/>
    <x:tableColumn id="4" name="goal"/>
    <x:tableColumn id="5" name="stories"/>
    <x:tableColumn id="6" name="capacity_points"/>
    <x:tableColumn id="7" name="planned_points"/>
  </x:tableColumns>
  <x:tableStyleInfo name="TableStyleMedium2" showRowStripes="1"/>
</x:table>
</file>

<file path=xl/tables/table14.xml><?xml version="1.0" encoding="utf-8"?>
<x:table xmlns:x="http://schemas.openxmlformats.org/spreadsheetml/2006/main" id="14" name="ChangeRequestsTable" displayName="ChangeRequestsTable" ref="A1:F5" headerRowCount="1">
  <x:tableColumns count="6">
    <x:tableColumn id="1" name="change_id"/>
    <x:tableColumn id="2" name="request"/>
    <x:tableColumn id="3" name="requestor"/>
    <x:tableColumn id="4" name="impact"/>
    <x:tableColumn id="5" name="decision"/>
    <x:tableColumn id="6" name="rationale"/>
  </x:tableColumns>
  <x:tableStyleInfo name="TableStyleMedium2" showRowStripes="1"/>
</x:table>
</file>

<file path=xl/tables/table15.xml><?xml version="1.0" encoding="utf-8"?>
<x:table xmlns:x="http://schemas.openxmlformats.org/spreadsheetml/2006/main" id="15" name="DefectLogTable" displayName="DefectLogTable" ref="A1:H6" headerRowCount="1">
  <x:tableColumns count="8">
    <x:tableColumn id="1" name="defect_id"/>
    <x:tableColumn id="2" name="summary"/>
    <x:tableColumn id="3" name="severity"/>
    <x:tableColumn id="4" name="environment"/>
    <x:tableColumn id="5" name="linked_test"/>
    <x:tableColumn id="6" name="status"/>
    <x:tableColumn id="7" name="root_cause"/>
    <x:tableColumn id="8" name="resolu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e09d577a1f4f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379564ab7f45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98b6ad571d4c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a53c3a790714f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9d31e771c674f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cd438ff3a4e44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f68c38b70a847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49ad512430341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4f17392fdd041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8166519872b4d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e0c0bf563cf4d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3207671da2d49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e46fc2c150d407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4f086290ae042b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7ae2ed028c043f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39fca43619e3429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18" hidden="0" customWidth="1"/>
    <x:col min="4" max="4" width="36" hidden="0" customWidth="1"/>
    <x:col min="5" max="5" width="36" hidden="0" customWidth="1"/>
    <x:col min="6" max="6" width="18" hidden="0" customWidth="1"/>
    <x:col min="7" max="7" width="18" hidden="0" customWidth="1"/>
    <x:col min="8" max="8" width="36" hidden="0" customWidth="1"/>
  </x:cols>
  <x:sheetData>
    <x:row r="1" ht="32" customHeight="1">
      <x:c r="A1" s="6" t="str">
        <x:v>stakeholder_id</x:v>
      </x:c>
      <x:c r="B1" s="6" t="str">
        <x:v>role</x:v>
      </x:c>
      <x:c r="C1" s="6" t="str">
        <x:v>responsibilities</x:v>
      </x:c>
      <x:c r="D1" s="6" t="str">
        <x:v>pain_points</x:v>
      </x:c>
      <x:c r="E1" s="6" t="str">
        <x:v>expectations</x:v>
      </x:c>
      <x:c r="F1" s="6" t="str">
        <x:v>influence</x:v>
      </x:c>
      <x:c r="G1" s="6" t="str">
        <x:v>interest</x:v>
      </x:c>
      <x:c r="H1" s="6" t="str">
        <x:v>communication_plan</x:v>
      </x:c>
    </x:row>
    <x:row r="2">
      <x:c r="A2" s="14" t="str">
        <x:v>STK-01</x:v>
      </x:c>
      <x:c r="B2" s="14" t="str">
        <x:v>Executive Sponsor (COO)</x:v>
      </x:c>
      <x:c r="C2" s="14" t="str">
        <x:v>Own business case, funding, adoption mandate, and enterprise outcome accountability.</x:v>
      </x:c>
      <x:c r="D2" s="14" t="str">
        <x:v>Missed cross-functional commitments, delayed decisions, weak visibility into silent execution risk.</x:v>
      </x:c>
      <x:c r="E2" s="14" t="str">
        <x:v>Executive risk view, measurable productivity gains, clear governance.</x:v>
      </x:c>
      <x:c r="F2" s="14" t="str">
        <x:v>High</x:v>
      </x:c>
      <x:c r="G2" s="14" t="str">
        <x:v>High</x:v>
      </x:c>
      <x:c r="H2" s="14" t="str">
        <x:v>Monthly steering committee; quarterly value realization review.</x:v>
      </x:c>
    </x:row>
    <x:row r="3">
      <x:c r="A3" s="14" t="str">
        <x:v>STK-02</x:v>
      </x:c>
      <x:c r="B3" s="14" t="str">
        <x:v>Product Owner</x:v>
      </x:c>
      <x:c r="C3" s="14" t="str">
        <x:v>Prioritize roadmap, accept stories, resolve scope decisions, manage product outcomes.</x:v>
      </x:c>
      <x:c r="D3" s="14" t="str">
        <x:v>Fragmented requests and limited evidence for prioritization.</x:v>
      </x:c>
      <x:c r="E3" s="14" t="str">
        <x:v>Traceable backlog, rapid feedback, measurable adoption.</x:v>
      </x:c>
      <x:c r="F3" s="14" t="str">
        <x:v>High</x:v>
      </x:c>
      <x:c r="G3" s="14" t="str">
        <x:v>High</x:v>
      </x:c>
      <x:c r="H3" s="14" t="str">
        <x:v>Twice-weekly refinement; sprint review and release readiness.</x:v>
      </x:c>
    </x:row>
    <x:row r="4">
      <x:c r="A4" s="14" t="str">
        <x:v>STK-03</x:v>
      </x:c>
      <x:c r="B4" s="14" t="str">
        <x:v>Enterprise Architecture</x:v>
      </x:c>
      <x:c r="C4" s="14" t="str">
        <x:v>Approve integration, identity, data, platform, and non-functional architecture.</x:v>
      </x:c>
      <x:c r="D4" s="14" t="str">
        <x:v>Point-to-point integrations and ungoverned AI services.</x:v>
      </x:c>
      <x:c r="E4" s="14" t="str">
        <x:v>Reusable APIs, event-driven patterns, approved cloud controls.</x:v>
      </x:c>
      <x:c r="F4" s="14" t="str">
        <x:v>High</x:v>
      </x:c>
      <x:c r="G4" s="14" t="str">
        <x:v>Medium</x:v>
      </x:c>
      <x:c r="H4" s="14" t="str">
        <x:v>Architecture review at discovery, design, and pre-production gates.</x:v>
      </x:c>
    </x:row>
    <x:row r="5">
      <x:c r="A5" s="14" t="str">
        <x:v>STK-04</x:v>
      </x:c>
      <x:c r="B5" s="14" t="str">
        <x:v>Information Security</x:v>
      </x:c>
      <x:c r="C5" s="14" t="str">
        <x:v>Threat modeling, IAM, encryption, vulnerability and incident controls.</x:v>
      </x:c>
      <x:c r="D5" s="14" t="str">
        <x:v>Sensitive message content and excessive permissions.</x:v>
      </x:c>
      <x:c r="E5" s="14" t="str">
        <x:v>Least privilege, tenant isolation, security logging, evidence.</x:v>
      </x:c>
      <x:c r="F5" s="14" t="str">
        <x:v>High</x:v>
      </x:c>
      <x:c r="G5" s="14" t="str">
        <x:v>Medium</x:v>
      </x:c>
      <x:c r="H5" s="14" t="str">
        <x:v>Biweekly security workstream; formal control sign-off.</x:v>
      </x:c>
    </x:row>
    <x:row r="6">
      <x:c r="A6" s="14" t="str">
        <x:v>STK-05</x:v>
      </x:c>
      <x:c r="B6" s="14" t="str">
        <x:v>Privacy &amp; Legal</x:v>
      </x:c>
      <x:c r="C6" s="14" t="str">
        <x:v>Define lawful processing, consent, retention, discovery, and acceptable monitoring boundaries.</x:v>
      </x:c>
      <x:c r="D6" s="14" t="str">
        <x:v>Employee surveillance risk and cross-border data handling.</x:v>
      </x:c>
      <x:c r="E6" s="14" t="str">
        <x:v>Purpose limitation, configurable retention, data subject controls.</x:v>
      </x:c>
      <x:c r="F6" s="14" t="str">
        <x:v>High</x:v>
      </x:c>
      <x:c r="G6" s="14" t="str">
        <x:v>High</x:v>
      </x:c>
      <x:c r="H6" s="14" t="str">
        <x:v>Weekly policy workshop during design; monthly compliance review.</x:v>
      </x:c>
    </x:row>
    <x:row r="7">
      <x:c r="A7" s="14" t="str">
        <x:v>STK-06</x:v>
      </x:c>
      <x:c r="B7" s="14" t="str">
        <x:v>Data Governance Council</x:v>
      </x:c>
      <x:c r="C7" s="14" t="str">
        <x:v>Approve data definitions, stewardship, lineage, quality and reference data.</x:v>
      </x:c>
      <x:c r="D7" s="14" t="str">
        <x:v>Inconsistent ownership, status and SLA definitions.</x:v>
      </x:c>
      <x:c r="E7" s="14" t="str">
        <x:v>Certified KPI glossary, lineage, data quality thresholds.</x:v>
      </x:c>
      <x:c r="F7" s="14" t="str">
        <x:v>Medium</x:v>
      </x:c>
      <x:c r="G7" s="14" t="str">
        <x:v>High</x:v>
      </x:c>
      <x:c r="H7" s="14" t="str">
        <x:v>Biweekly data governance forum; certification before launch.</x:v>
      </x:c>
    </x:row>
    <x:row r="8">
      <x:c r="A8" s="14" t="str">
        <x:v>STK-07</x:v>
      </x:c>
      <x:c r="B8" s="14" t="str">
        <x:v>Department Heads</x:v>
      </x:c>
      <x:c r="C8" s="14" t="str">
        <x:v>Drive adoption, act on escalations, monitor team performance.</x:v>
      </x:c>
      <x:c r="D8" s="14" t="str">
        <x:v>Late surprises and manual status chasing.</x:v>
      </x:c>
      <x:c r="E8" s="14" t="str">
        <x:v>Department dashboards, drill-down, fair accountability measures.</x:v>
      </x:c>
      <x:c r="F8" s="14" t="str">
        <x:v>High</x:v>
      </x:c>
      <x:c r="G8" s="14" t="str">
        <x:v>High</x:v>
      </x:c>
      <x:c r="H8" s="14" t="str">
        <x:v>Monthly business review; targeted adoption digest.</x:v>
      </x:c>
    </x:row>
    <x:row r="9">
      <x:c r="A9" s="14" t="str">
        <x:v>STK-08</x:v>
      </x:c>
      <x:c r="B9" s="14" t="str">
        <x:v>Managers / Team Leads</x:v>
      </x:c>
      <x:c r="C9" s="14" t="str">
        <x:v>Review team commitments, reassign work, manage exceptions.</x:v>
      </x:c>
      <x:c r="D9" s="14" t="str">
        <x:v>Multiple tools and unclear ownership.</x:v>
      </x:c>
      <x:c r="E9" s="14" t="str">
        <x:v>Actionable queue, low-noise reminders, bulk triage.</x:v>
      </x:c>
      <x:c r="F9" s="14" t="str">
        <x:v>Medium</x:v>
      </x:c>
      <x:c r="G9" s="14" t="str">
        <x:v>High</x:v>
      </x:c>
      <x:c r="H9" s="14" t="str">
        <x:v>Pilot office hours; weekly usage insights.</x:v>
      </x:c>
    </x:row>
    <x:row r="10">
      <x:c r="A10" s="14" t="str">
        <x:v>STK-09</x:v>
      </x:c>
      <x:c r="B10" s="14" t="str">
        <x:v>Employees / Promise Owners</x:v>
      </x:c>
      <x:c r="C10" s="14" t="str">
        <x:v>Confirm, update, fulfill, reassign, or dispute detected promises.</x:v>
      </x:c>
      <x:c r="D10" s="14" t="str">
        <x:v>Manual task entry, notification fatigue, false positives.</x:v>
      </x:c>
      <x:c r="E10" s="14" t="str">
        <x:v>Transparent AI reasoning, easy correction, privacy safeguards.</x:v>
      </x:c>
      <x:c r="F10" s="14" t="str">
        <x:v>Medium</x:v>
      </x:c>
      <x:c r="G10" s="14" t="str">
        <x:v>High</x:v>
      </x:c>
      <x:c r="H10" s="14" t="str">
        <x:v>In-product onboarding, FAQs, feedback channel, pulse surveys.</x:v>
      </x:c>
    </x:row>
    <x:row r="11">
      <x:c r="A11" s="14" t="str">
        <x:v>STK-10</x:v>
      </x:c>
      <x:c r="B11" s="14" t="str">
        <x:v>Integration Engineering</x:v>
      </x:c>
      <x:c r="C11" s="14" t="str">
        <x:v>Build and operate connectors, webhooks, replay, throttling and monitoring.</x:v>
      </x:c>
      <x:c r="D11" s="14" t="str">
        <x:v>API rate limits, schema drift, token expiry.</x:v>
      </x:c>
      <x:c r="E11" s="14" t="str">
        <x:v>Clear contracts, observability, idempotency.</x:v>
      </x:c>
      <x:c r="F11" s="14" t="str">
        <x:v>Medium</x:v>
      </x:c>
      <x:c r="G11" s="14" t="str">
        <x:v>High</x:v>
      </x:c>
      <x:c r="H11" s="14" t="str">
        <x:v>Daily stand-up during integration sprints; weekly API review.</x:v>
      </x:c>
    </x:row>
    <x:row r="12">
      <x:c r="A12" s="14" t="str">
        <x:v>STK-11</x:v>
      </x:c>
      <x:c r="B12" s="14" t="str">
        <x:v>Data Science / ML</x:v>
      </x:c>
      <x:c r="C12" s="14" t="str">
        <x:v>Build extraction, classification, prediction, evaluation and model monitoring.</x:v>
      </x:c>
      <x:c r="D12" s="14" t="str">
        <x:v>Limited labeled data and changing language patterns.</x:v>
      </x:c>
      <x:c r="E12" s="14" t="str">
        <x:v>Human feedback loop, model registry, evaluation dataset.</x:v>
      </x:c>
      <x:c r="F12" s="14" t="str">
        <x:v>Medium</x:v>
      </x:c>
      <x:c r="G12" s="14" t="str">
        <x:v>High</x:v>
      </x:c>
      <x:c r="H12" s="14" t="str">
        <x:v>Weekly model review; monthly bias and drift review.</x:v>
      </x:c>
    </x:row>
    <x:row r="13">
      <x:c r="A13" s="14" t="str">
        <x:v>STK-12</x:v>
      </x:c>
      <x:c r="B13" s="14" t="str">
        <x:v>Support &amp; Platform Operations</x:v>
      </x:c>
      <x:c r="C13" s="14" t="str">
        <x:v>Incident response, support, runbooks, availability and capacity.</x:v>
      </x:c>
      <x:c r="D13" s="14" t="str">
        <x:v>Hard-to-diagnose ingestion and notification failures.</x:v>
      </x:c>
      <x:c r="E13" s="14" t="str">
        <x:v>SLOs, dashboards, replay tools, clear ownership.</x:v>
      </x:c>
      <x:c r="F13" s="14" t="str">
        <x:v>Medium</x:v>
      </x:c>
      <x:c r="G13" s="14" t="str">
        <x:v>Medium</x:v>
      </x:c>
      <x:c r="H13" s="14" t="str">
        <x:v>Operational readiness reviews; weekly service report after launch.</x:v>
      </x:c>
    </x:row>
  </x:sheetData>
  <x:pageMargins left="0.7" right="0.7" top="0.75" bottom="0.75" header="0.3" footer="0.3"/>
  <x:tableParts count="1">
    <x:tablePart xmlns:r="http://schemas.openxmlformats.org/officeDocument/2006/relationships" r:id="Rcbe09d577a1f4ff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2" customHeight="1">
      <x:c r="A1" s="6" t="str">
        <x:v>activity</x:v>
      </x:c>
      <x:c r="B1" s="6" t="str">
        <x:v>Executive Sponsor</x:v>
      </x:c>
      <x:c r="C1" s="6" t="str">
        <x:v>Product Owner</x:v>
      </x:c>
      <x:c r="D1" s="6" t="str">
        <x:v>Business Analyst</x:v>
      </x:c>
      <x:c r="E1" s="6" t="str">
        <x:v>Solution Architect</x:v>
      </x:c>
      <x:c r="F1" s="6" t="str">
        <x:v>Engineering Lead</x:v>
      </x:c>
      <x:c r="G1" s="6" t="str">
        <x:v>ML Lead</x:v>
      </x:c>
      <x:c r="H1" s="6" t="str">
        <x:v>Security</x:v>
      </x:c>
      <x:c r="I1" s="6" t="str">
        <x:v>Privacy/Legal</x:v>
      </x:c>
      <x:c r="J1" s="6" t="str">
        <x:v>Data Governance</x:v>
      </x:c>
      <x:c r="K1" s="6" t="str">
        <x:v>QA Lead</x:v>
      </x:c>
      <x:c r="L1" s="6" t="str">
        <x:v>Change Lead</x:v>
      </x:c>
      <x:c r="M1" s="6" t="str">
        <x:v>Operations</x:v>
      </x:c>
    </x:row>
    <x:row r="2">
      <x:c r="A2" s="14" t="str">
        <x:v>Business case and funding</x:v>
      </x:c>
      <x:c r="B2" s="14" t="str">
        <x:v>A</x:v>
      </x:c>
      <x:c r="C2" s="14" t="str">
        <x:v>R</x:v>
      </x:c>
      <x:c r="D2" s="14" t="str">
        <x:v>C</x:v>
      </x:c>
      <x:c r="E2" s="14" t="str">
        <x:v>C</x:v>
      </x:c>
      <x:c r="F2" s="14" t="str">
        <x:v>I</x:v>
      </x:c>
      <x:c r="G2" s="14" t="str">
        <x:v>I</x:v>
      </x:c>
      <x:c r="H2" s="14" t="str">
        <x:v>C</x:v>
      </x:c>
      <x:c r="I2" s="14" t="str">
        <x:v>C</x:v>
      </x:c>
      <x:c r="J2" s="14" t="str">
        <x:v>I</x:v>
      </x:c>
      <x:c r="K2" s="14" t="str">
        <x:v>I</x:v>
      </x:c>
      <x:c r="L2" s="14" t="str">
        <x:v>C</x:v>
      </x:c>
      <x:c r="M2" s="14" t="str">
        <x:v>I</x:v>
      </x:c>
    </x:row>
    <x:row r="3">
      <x:c r="A3" s="14" t="str">
        <x:v>Scope and product roadmap</x:v>
      </x:c>
      <x:c r="B3" s="14" t="str">
        <x:v>C</x:v>
      </x:c>
      <x:c r="C3" s="14" t="str">
        <x:v>A</x:v>
      </x:c>
      <x:c r="D3" s="14" t="str">
        <x:v>R</x:v>
      </x:c>
      <x:c r="E3" s="14" t="str">
        <x:v>C</x:v>
      </x:c>
      <x:c r="F3" s="14" t="str">
        <x:v>C</x:v>
      </x:c>
      <x:c r="G3" s="14" t="str">
        <x:v>C</x:v>
      </x:c>
      <x:c r="H3" s="14" t="str">
        <x:v>C</x:v>
      </x:c>
      <x:c r="I3" s="14" t="str">
        <x:v>C</x:v>
      </x:c>
      <x:c r="J3" s="14" t="str">
        <x:v>C</x:v>
      </x:c>
      <x:c r="K3" s="14" t="str">
        <x:v>I</x:v>
      </x:c>
      <x:c r="L3" s="14" t="str">
        <x:v>C</x:v>
      </x:c>
      <x:c r="M3" s="14" t="str">
        <x:v>I</x:v>
      </x:c>
    </x:row>
    <x:row r="4">
      <x:c r="A4" s="14" t="str">
        <x:v>Requirements baseline</x:v>
      </x:c>
      <x:c r="B4" s="14" t="str">
        <x:v>I</x:v>
      </x:c>
      <x:c r="C4" s="14" t="str">
        <x:v>A</x:v>
      </x:c>
      <x:c r="D4" s="14" t="str">
        <x:v>R</x:v>
      </x:c>
      <x:c r="E4" s="14" t="str">
        <x:v>C</x:v>
      </x:c>
      <x:c r="F4" s="14" t="str">
        <x:v>C</x:v>
      </x:c>
      <x:c r="G4" s="14" t="str">
        <x:v>C</x:v>
      </x:c>
      <x:c r="H4" s="14" t="str">
        <x:v>C</x:v>
      </x:c>
      <x:c r="I4" s="14" t="str">
        <x:v>C</x:v>
      </x:c>
      <x:c r="J4" s="14" t="str">
        <x:v>C</x:v>
      </x:c>
      <x:c r="K4" s="14" t="str">
        <x:v>C</x:v>
      </x:c>
      <x:c r="L4" s="14" t="str">
        <x:v>C</x:v>
      </x:c>
      <x:c r="M4" s="14" t="str">
        <x:v>I</x:v>
      </x:c>
    </x:row>
    <x:row r="5">
      <x:c r="A5" s="14" t="str">
        <x:v>Integration architecture</x:v>
      </x:c>
      <x:c r="B5" s="14" t="str">
        <x:v>I</x:v>
      </x:c>
      <x:c r="C5" s="14" t="str">
        <x:v>C</x:v>
      </x:c>
      <x:c r="D5" s="14" t="str">
        <x:v>C</x:v>
      </x:c>
      <x:c r="E5" s="14" t="str">
        <x:v>A</x:v>
      </x:c>
      <x:c r="F5" s="14" t="str">
        <x:v>R</x:v>
      </x:c>
      <x:c r="G5" s="14" t="str">
        <x:v>I</x:v>
      </x:c>
      <x:c r="H5" s="14" t="str">
        <x:v>C</x:v>
      </x:c>
      <x:c r="I5" s="14" t="str">
        <x:v>C</x:v>
      </x:c>
      <x:c r="J5" s="14" t="str">
        <x:v>C</x:v>
      </x:c>
      <x:c r="K5" s="14" t="str">
        <x:v>C</x:v>
      </x:c>
      <x:c r="L5" s="14" t="str">
        <x:v>I</x:v>
      </x:c>
      <x:c r="M5" s="14" t="str">
        <x:v>C</x:v>
      </x:c>
    </x:row>
    <x:row r="6">
      <x:c r="A6" s="14" t="str">
        <x:v>AI model design and evaluation</x:v>
      </x:c>
      <x:c r="B6" s="14" t="str">
        <x:v>I</x:v>
      </x:c>
      <x:c r="C6" s="14" t="str">
        <x:v>A</x:v>
      </x:c>
      <x:c r="D6" s="14" t="str">
        <x:v>C</x:v>
      </x:c>
      <x:c r="E6" s="14" t="str">
        <x:v>C</x:v>
      </x:c>
      <x:c r="F6" s="14" t="str">
        <x:v>C</x:v>
      </x:c>
      <x:c r="G6" s="14" t="str">
        <x:v>R</x:v>
      </x:c>
      <x:c r="H6" s="14" t="str">
        <x:v>C</x:v>
      </x:c>
      <x:c r="I6" s="14" t="str">
        <x:v>C</x:v>
      </x:c>
      <x:c r="J6" s="14" t="str">
        <x:v>C</x:v>
      </x:c>
      <x:c r="K6" s="14" t="str">
        <x:v>C</x:v>
      </x:c>
      <x:c r="L6" s="14" t="str">
        <x:v>I</x:v>
      </x:c>
      <x:c r="M6" s="14" t="str">
        <x:v>I</x:v>
      </x:c>
    </x:row>
    <x:row r="7">
      <x:c r="A7" s="14" t="str">
        <x:v>Security and threat model</x:v>
      </x:c>
      <x:c r="B7" s="14" t="str">
        <x:v>I</x:v>
      </x:c>
      <x:c r="C7" s="14" t="str">
        <x:v>C</x:v>
      </x:c>
      <x:c r="D7" s="14" t="str">
        <x:v>C</x:v>
      </x:c>
      <x:c r="E7" s="14" t="str">
        <x:v>C</x:v>
      </x:c>
      <x:c r="F7" s="14" t="str">
        <x:v>C</x:v>
      </x:c>
      <x:c r="G7" s="14" t="str">
        <x:v>C</x:v>
      </x:c>
      <x:c r="H7" s="14" t="str">
        <x:v>A/R</x:v>
      </x:c>
      <x:c r="I7" s="14" t="str">
        <x:v>C</x:v>
      </x:c>
      <x:c r="J7" s="14" t="str">
        <x:v>I</x:v>
      </x:c>
      <x:c r="K7" s="14" t="str">
        <x:v>C</x:v>
      </x:c>
      <x:c r="L7" s="14" t="str">
        <x:v>I</x:v>
      </x:c>
      <x:c r="M7" s="14" t="str">
        <x:v>C</x:v>
      </x:c>
    </x:row>
    <x:row r="8">
      <x:c r="A8" s="14" t="str">
        <x:v>Privacy impact assessment</x:v>
      </x:c>
      <x:c r="B8" s="14" t="str">
        <x:v>I</x:v>
      </x:c>
      <x:c r="C8" s="14" t="str">
        <x:v>C</x:v>
      </x:c>
      <x:c r="D8" s="14" t="str">
        <x:v>C</x:v>
      </x:c>
      <x:c r="E8" s="14" t="str">
        <x:v>C</x:v>
      </x:c>
      <x:c r="F8" s="14" t="str">
        <x:v>I</x:v>
      </x:c>
      <x:c r="G8" s="14" t="str">
        <x:v>C</x:v>
      </x:c>
      <x:c r="H8" s="14" t="str">
        <x:v>C</x:v>
      </x:c>
      <x:c r="I8" s="14" t="str">
        <x:v>A/R</x:v>
      </x:c>
      <x:c r="J8" s="14" t="str">
        <x:v>C</x:v>
      </x:c>
      <x:c r="K8" s="14" t="str">
        <x:v>I</x:v>
      </x:c>
      <x:c r="L8" s="14" t="str">
        <x:v>C</x:v>
      </x:c>
      <x:c r="M8" s="14" t="str">
        <x:v>I</x:v>
      </x:c>
    </x:row>
    <x:row r="9">
      <x:c r="A9" s="14" t="str">
        <x:v>Data model and KPI certification</x:v>
      </x:c>
      <x:c r="B9" s="14" t="str">
        <x:v>I</x:v>
      </x:c>
      <x:c r="C9" s="14" t="str">
        <x:v>C</x:v>
      </x:c>
      <x:c r="D9" s="14" t="str">
        <x:v>R</x:v>
      </x:c>
      <x:c r="E9" s="14" t="str">
        <x:v>C</x:v>
      </x:c>
      <x:c r="F9" s="14" t="str">
        <x:v>C</x:v>
      </x:c>
      <x:c r="G9" s="14" t="str">
        <x:v>C</x:v>
      </x:c>
      <x:c r="H9" s="14" t="str">
        <x:v>C</x:v>
      </x:c>
      <x:c r="I9" s="14" t="str">
        <x:v>C</x:v>
      </x:c>
      <x:c r="J9" s="14" t="str">
        <x:v>A</x:v>
      </x:c>
      <x:c r="K9" s="14" t="str">
        <x:v>C</x:v>
      </x:c>
      <x:c r="L9" s="14" t="str">
        <x:v>I</x:v>
      </x:c>
      <x:c r="M9" s="14" t="str">
        <x:v>I</x:v>
      </x:c>
    </x:row>
    <x:row r="10">
      <x:c r="A10" s="14" t="str">
        <x:v>Build and configuration</x:v>
      </x:c>
      <x:c r="B10" s="14" t="str">
        <x:v>I</x:v>
      </x:c>
      <x:c r="C10" s="14" t="str">
        <x:v>A</x:v>
      </x:c>
      <x:c r="D10" s="14" t="str">
        <x:v>C</x:v>
      </x:c>
      <x:c r="E10" s="14" t="str">
        <x:v>C</x:v>
      </x:c>
      <x:c r="F10" s="14" t="str">
        <x:v>R</x:v>
      </x:c>
      <x:c r="G10" s="14" t="str">
        <x:v>R</x:v>
      </x:c>
      <x:c r="H10" s="14" t="str">
        <x:v>C</x:v>
      </x:c>
      <x:c r="I10" s="14" t="str">
        <x:v>C</x:v>
      </x:c>
      <x:c r="J10" s="14" t="str">
        <x:v>C</x:v>
      </x:c>
      <x:c r="K10" s="14" t="str">
        <x:v>C</x:v>
      </x:c>
      <x:c r="L10" s="14" t="str">
        <x:v>I</x:v>
      </x:c>
      <x:c r="M10" s="14" t="str">
        <x:v>C</x:v>
      </x:c>
    </x:row>
    <x:row r="11">
      <x:c r="A11" s="14" t="str">
        <x:v>System and integration testing</x:v>
      </x:c>
      <x:c r="B11" s="14" t="str">
        <x:v>I</x:v>
      </x:c>
      <x:c r="C11" s="14" t="str">
        <x:v>C</x:v>
      </x:c>
      <x:c r="D11" s="14" t="str">
        <x:v>C</x:v>
      </x:c>
      <x:c r="E11" s="14" t="str">
        <x:v>C</x:v>
      </x:c>
      <x:c r="F11" s="14" t="str">
        <x:v>C</x:v>
      </x:c>
      <x:c r="G11" s="14" t="str">
        <x:v>C</x:v>
      </x:c>
      <x:c r="H11" s="14" t="str">
        <x:v>C</x:v>
      </x:c>
      <x:c r="I11" s="14" t="str">
        <x:v>C</x:v>
      </x:c>
      <x:c r="J11" s="14" t="str">
        <x:v>C</x:v>
      </x:c>
      <x:c r="K11" s="14" t="str">
        <x:v>A/R</x:v>
      </x:c>
      <x:c r="L11" s="14" t="str">
        <x:v>I</x:v>
      </x:c>
      <x:c r="M11" s="14" t="str">
        <x:v>C</x:v>
      </x:c>
    </x:row>
    <x:row r="12">
      <x:c r="A12" s="14" t="str">
        <x:v>UAT and business acceptance</x:v>
      </x:c>
      <x:c r="B12" s="14" t="str">
        <x:v>C</x:v>
      </x:c>
      <x:c r="C12" s="14" t="str">
        <x:v>A</x:v>
      </x:c>
      <x:c r="D12" s="14" t="str">
        <x:v>R</x:v>
      </x:c>
      <x:c r="E12" s="14" t="str">
        <x:v>C</x:v>
      </x:c>
      <x:c r="F12" s="14" t="str">
        <x:v>C</x:v>
      </x:c>
      <x:c r="G12" s="14" t="str">
        <x:v>C</x:v>
      </x:c>
      <x:c r="H12" s="14" t="str">
        <x:v>C</x:v>
      </x:c>
      <x:c r="I12" s="14" t="str">
        <x:v>C</x:v>
      </x:c>
      <x:c r="J12" s="14" t="str">
        <x:v>C</x:v>
      </x:c>
      <x:c r="K12" s="14" t="str">
        <x:v>R</x:v>
      </x:c>
      <x:c r="L12" s="14" t="str">
        <x:v>C</x:v>
      </x:c>
      <x:c r="M12" s="14" t="str">
        <x:v>I</x:v>
      </x:c>
    </x:row>
    <x:row r="13">
      <x:c r="A13" s="14" t="str">
        <x:v>Training and adoption</x:v>
      </x:c>
      <x:c r="B13" s="14" t="str">
        <x:v>I</x:v>
      </x:c>
      <x:c r="C13" s="14" t="str">
        <x:v>C</x:v>
      </x:c>
      <x:c r="D13" s="14" t="str">
        <x:v>C</x:v>
      </x:c>
      <x:c r="E13" s="14" t="str">
        <x:v>I</x:v>
      </x:c>
      <x:c r="F13" s="14" t="str">
        <x:v>I</x:v>
      </x:c>
      <x:c r="G13" s="14" t="str">
        <x:v>I</x:v>
      </x:c>
      <x:c r="H13" s="14" t="str">
        <x:v>I</x:v>
      </x:c>
      <x:c r="I13" s="14" t="str">
        <x:v>C</x:v>
      </x:c>
      <x:c r="J13" s="14" t="str">
        <x:v>I</x:v>
      </x:c>
      <x:c r="K13" s="14" t="str">
        <x:v>C</x:v>
      </x:c>
      <x:c r="L13" s="14" t="str">
        <x:v>A/R</x:v>
      </x:c>
      <x:c r="M13" s="14" t="str">
        <x:v>C</x:v>
      </x:c>
    </x:row>
    <x:row r="14">
      <x:c r="A14" s="14" t="str">
        <x:v>Production readiness and support</x:v>
      </x:c>
      <x:c r="B14" s="14" t="str">
        <x:v>I</x:v>
      </x:c>
      <x:c r="C14" s="14" t="str">
        <x:v>C</x:v>
      </x:c>
      <x:c r="D14" s="14" t="str">
        <x:v>C</x:v>
      </x:c>
      <x:c r="E14" s="14" t="str">
        <x:v>C</x:v>
      </x:c>
      <x:c r="F14" s="14" t="str">
        <x:v>R</x:v>
      </x:c>
      <x:c r="G14" s="14" t="str">
        <x:v>C</x:v>
      </x:c>
      <x:c r="H14" s="14" t="str">
        <x:v>C</x:v>
      </x:c>
      <x:c r="I14" s="14" t="str">
        <x:v>C</x:v>
      </x:c>
      <x:c r="J14" s="14" t="str">
        <x:v>I</x:v>
      </x:c>
      <x:c r="K14" s="14" t="str">
        <x:v>C</x:v>
      </x:c>
      <x:c r="L14" s="14" t="str">
        <x:v>C</x:v>
      </x:c>
      <x:c r="M14" s="14" t="str">
        <x:v>A</x:v>
      </x:c>
    </x:row>
    <x:row r="15">
      <x:c r="A15" s="14" t="str">
        <x:v>Value realization</x:v>
      </x:c>
      <x:c r="B15" s="14" t="str">
        <x:v>A</x:v>
      </x:c>
      <x:c r="C15" s="14" t="str">
        <x:v>R</x:v>
      </x:c>
      <x:c r="D15" s="14" t="str">
        <x:v>C</x:v>
      </x:c>
      <x:c r="E15" s="14" t="str">
        <x:v>I</x:v>
      </x:c>
      <x:c r="F15" s="14" t="str">
        <x:v>I</x:v>
      </x:c>
      <x:c r="G15" s="14" t="str">
        <x:v>I</x:v>
      </x:c>
      <x:c r="H15" s="14" t="str">
        <x:v>I</x:v>
      </x:c>
      <x:c r="I15" s="14" t="str">
        <x:v>C</x:v>
      </x:c>
      <x:c r="J15" s="14" t="str">
        <x:v>C</x:v>
      </x:c>
      <x:c r="K15" s="14" t="str">
        <x:v>I</x:v>
      </x:c>
      <x:c r="L15" s="14" t="str">
        <x:v>C</x:v>
      </x:c>
      <x:c r="M15" s="14" t="str">
        <x:v>C</x:v>
      </x:c>
    </x:row>
  </x:sheetData>
  <x:pageMargins left="0.7" right="0.7" top="0.75" bottom="0.75" header="0.3" footer="0.3"/>
  <x:tableParts count="1">
    <x:tablePart xmlns:r="http://schemas.openxmlformats.org/officeDocument/2006/relationships" r:id="R46379564ab7f45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36" hidden="0" customWidth="1"/>
    <x:col min="4" max="4" width="18" hidden="0" customWidth="1"/>
    <x:col min="5" max="5" width="18" hidden="0" customWidth="1"/>
    <x:col min="6" max="6" width="15" hidden="0" customWidth="1"/>
    <x:col min="7" max="7" width="18" hidden="0" customWidth="1"/>
  </x:cols>
  <x:sheetData>
    <x:row r="1" ht="32" customHeight="1">
      <x:c r="A1" s="6" t="str">
        <x:v>requirement_id</x:v>
      </x:c>
      <x:c r="B1" s="6" t="str">
        <x:v>name</x:v>
      </x:c>
      <x:c r="C1" s="6" t="str">
        <x:v>requirement</x:v>
      </x:c>
      <x:c r="D1" s="6" t="str">
        <x:v>moscow</x:v>
      </x:c>
      <x:c r="E1" s="6" t="str">
        <x:v>owner</x:v>
      </x:c>
      <x:c r="F1" s="6" t="str">
        <x:v>status</x:v>
      </x:c>
      <x:c r="G1" s="6" t="str">
        <x:v>version</x:v>
      </x:c>
    </x:row>
    <x:row r="2">
      <x:c r="A2" s="14" t="str">
        <x:v>BR-001</x:v>
      </x:c>
      <x:c r="B2" s="14" t="str">
        <x:v>Unified Communication Ingestion</x:v>
      </x:c>
      <x:c r="C2" s="14" t="str">
        <x:v>The platform shall securely ingest supported messages, transcripts, comments and notes from approved enterprise systems.</x:v>
      </x:c>
      <x:c r="D2" s="14" t="str">
        <x:v>Must</x:v>
      </x:c>
      <x:c r="E2" s="14" t="str">
        <x:v>Executive Sponsor</x:v>
      </x:c>
      <x:c r="F2" s="14" t="str">
        <x:v>Approved for Portfolio Baseline</x:v>
      </x:c>
      <x:c r="G2" s="14" t="str">
        <x:v>1.0</x:v>
      </x:c>
    </x:row>
    <x:row r="3">
      <x:c r="A3" s="14" t="str">
        <x:v>BR-002</x:v>
      </x:c>
      <x:c r="B3" s="14" t="str">
        <x:v>Automated Promise Detection</x:v>
      </x:c>
      <x:c r="C3" s="14" t="str">
        <x:v>The platform shall detect explicit and implicit business commitments from ingested content using governed AI models.</x:v>
      </x:c>
      <x:c r="D3" s="14" t="str">
        <x:v>Must</x:v>
      </x:c>
      <x:c r="E3" s="14" t="str">
        <x:v>Product Owner</x:v>
      </x:c>
      <x:c r="F3" s="14" t="str">
        <x:v>Approved for Portfolio Baseline</x:v>
      </x:c>
      <x:c r="G3" s="14" t="str">
        <x:v>1.0</x:v>
      </x:c>
    </x:row>
    <x:row r="4">
      <x:c r="A4" s="14" t="str">
        <x:v>BR-003</x:v>
      </x:c>
      <x:c r="B4" s="14" t="str">
        <x:v>Promise Ledger Creation</x:v>
      </x:c>
      <x:c r="C4" s="14" t="str">
        <x:v>Each confirmed commitment shall be stored as a uniquely identifiable business object linked to source evidence.</x:v>
      </x:c>
      <x:c r="D4" s="14" t="str">
        <x:v>Must</x:v>
      </x:c>
      <x:c r="E4" s="14" t="str">
        <x:v>Product Owner</x:v>
      </x:c>
      <x:c r="F4" s="14" t="str">
        <x:v>Approved for Portfolio Baseline</x:v>
      </x:c>
      <x:c r="G4" s="14" t="str">
        <x:v>1.0</x:v>
      </x:c>
    </x:row>
    <x:row r="5">
      <x:c r="A5" s="14" t="str">
        <x:v>BR-004</x:v>
      </x:c>
      <x:c r="B5" s="14" t="str">
        <x:v>Owner Identification</x:v>
      </x:c>
      <x:c r="C5" s="14" t="str">
        <x:v>The platform shall identify the accountable individual or team and allow confirmation or correction.</x:v>
      </x:c>
      <x:c r="D5" s="14" t="str">
        <x:v>Must</x:v>
      </x:c>
      <x:c r="E5" s="14" t="str">
        <x:v>Department Heads</x:v>
      </x:c>
      <x:c r="F5" s="14" t="str">
        <x:v>Approved for Portfolio Baseline</x:v>
      </x:c>
      <x:c r="G5" s="14" t="str">
        <x:v>1.0</x:v>
      </x:c>
    </x:row>
    <x:row r="6">
      <x:c r="A6" s="14" t="str">
        <x:v>BR-005</x:v>
      </x:c>
      <x:c r="B6" s="14" t="str">
        <x:v>Deadline Extraction</x:v>
      </x:c>
      <x:c r="C6" s="14" t="str">
        <x:v>The platform shall resolve explicit, relative and contextual deadlines using user locale, working calendars and source time zone.</x:v>
      </x:c>
      <x:c r="D6" s="14" t="str">
        <x:v>Must</x:v>
      </x:c>
      <x:c r="E6" s="14" t="str">
        <x:v>Product Owner</x:v>
      </x:c>
      <x:c r="F6" s="14" t="str">
        <x:v>Approved for Portfolio Baseline</x:v>
      </x:c>
      <x:c r="G6" s="14" t="str">
        <x:v>1.0</x:v>
      </x:c>
    </x:row>
    <x:row r="7">
      <x:c r="A7" s="14" t="str">
        <x:v>BR-006</x:v>
      </x:c>
      <x:c r="B7" s="14" t="str">
        <x:v>Lifecycle Management</x:v>
      </x:c>
      <x:c r="C7" s="14" t="str">
        <x:v>Users shall transition commitments through Open, In Progress, Fulfilled, Reassigned, Delayed, Cancelled, Overdue and Escalated states.</x:v>
      </x:c>
      <x:c r="D7" s="14" t="str">
        <x:v>Must</x:v>
      </x:c>
      <x:c r="E7" s="14" t="str">
        <x:v>Operations</x:v>
      </x:c>
      <x:c r="F7" s="14" t="str">
        <x:v>Approved for Portfolio Baseline</x:v>
      </x:c>
      <x:c r="G7" s="14" t="str">
        <x:v>1.0</x:v>
      </x:c>
    </x:row>
    <x:row r="8">
      <x:c r="A8" s="14" t="str">
        <x:v>BR-007</x:v>
      </x:c>
      <x:c r="B8" s="14" t="str">
        <x:v>Contextual Notifications</x:v>
      </x:c>
      <x:c r="C8" s="14" t="str">
        <x:v>The platform shall deliver configurable reminders and follow-ups through in-app and approved source channels.</x:v>
      </x:c>
      <x:c r="D8" s="14" t="str">
        <x:v>Must</x:v>
      </x:c>
      <x:c r="E8" s="14" t="str">
        <x:v>Department Heads</x:v>
      </x:c>
      <x:c r="F8" s="14" t="str">
        <x:v>Approved for Portfolio Baseline</x:v>
      </x:c>
      <x:c r="G8" s="14" t="str">
        <x:v>1.0</x:v>
      </x:c>
    </x:row>
    <x:row r="9">
      <x:c r="A9" s="14" t="str">
        <x:v>BR-008</x:v>
      </x:c>
      <x:c r="B9" s="14" t="str">
        <x:v>Escalation Management</x:v>
      </x:c>
      <x:c r="C9" s="14" t="str">
        <x:v>The platform shall apply SLA and risk-based escalation policies with manager and project routing.</x:v>
      </x:c>
      <x:c r="D9" s="14" t="str">
        <x:v>Must</x:v>
      </x:c>
      <x:c r="E9" s="14" t="str">
        <x:v>COO</x:v>
      </x:c>
      <x:c r="F9" s="14" t="str">
        <x:v>Approved for Portfolio Baseline</x:v>
      </x:c>
      <x:c r="G9" s="14" t="str">
        <x:v>1.0</x:v>
      </x:c>
    </x:row>
    <x:row r="10">
      <x:c r="A10" s="14" t="str">
        <x:v>BR-009</x:v>
      </x:c>
      <x:c r="B10" s="14" t="str">
        <x:v>Enterprise Search</x:v>
      </x:c>
      <x:c r="C10" s="14" t="str">
        <x:v>Authorized users shall search and filter commitments by text, owner, department, project, source, status, date and risk.</x:v>
      </x:c>
      <x:c r="D10" s="14" t="str">
        <x:v>Must</x:v>
      </x:c>
      <x:c r="E10" s="14" t="str">
        <x:v>Employees</x:v>
      </x:c>
      <x:c r="F10" s="14" t="str">
        <x:v>Approved for Portfolio Baseline</x:v>
      </x:c>
      <x:c r="G10" s="14" t="str">
        <x:v>1.0</x:v>
      </x:c>
    </x:row>
    <x:row r="11">
      <x:c r="A11" s="14" t="str">
        <x:v>BR-010</x:v>
      </x:c>
      <x:c r="B11" s="14" t="str">
        <x:v>Role-Based Dashboards</x:v>
      </x:c>
      <x:c r="C11" s="14" t="str">
        <x:v>The platform shall provide persona-specific dashboards for executives, managers and individual employees.</x:v>
      </x:c>
      <x:c r="D11" s="14" t="str">
        <x:v>Must</x:v>
      </x:c>
      <x:c r="E11" s="14" t="str">
        <x:v>COO</x:v>
      </x:c>
      <x:c r="F11" s="14" t="str">
        <x:v>Approved for Portfolio Baseline</x:v>
      </x:c>
      <x:c r="G11" s="14" t="str">
        <x:v>1.0</x:v>
      </x:c>
    </x:row>
    <x:row r="12">
      <x:c r="A12" s="14" t="str">
        <x:v>BR-011</x:v>
      </x:c>
      <x:c r="B12" s="14" t="str">
        <x:v>Scheduled Reporting</x:v>
      </x:c>
      <x:c r="C12" s="14" t="str">
        <x:v>The platform shall generate weekly, monthly, quarterly, operational, risk and compliance reports.</x:v>
      </x:c>
      <x:c r="D12" s="14" t="str">
        <x:v>Should</x:v>
      </x:c>
      <x:c r="E12" s="14" t="str">
        <x:v>Department Heads</x:v>
      </x:c>
      <x:c r="F12" s="14" t="str">
        <x:v>Approved for Portfolio Baseline</x:v>
      </x:c>
      <x:c r="G12" s="14" t="str">
        <x:v>1.0</x:v>
      </x:c>
    </x:row>
    <x:row r="13">
      <x:c r="A13" s="14" t="str">
        <x:v>BR-012</x:v>
      </x:c>
      <x:c r="B13" s="14" t="str">
        <x:v>Human Review and Dispute</x:v>
      </x:c>
      <x:c r="C13" s="14" t="str">
        <x:v>Users shall confirm, edit, reject, merge or dispute AI-detected commitments with reason capture.</x:v>
      </x:c>
      <x:c r="D13" s="14" t="str">
        <x:v>Must</x:v>
      </x:c>
      <x:c r="E13" s="14" t="str">
        <x:v>Privacy &amp; Legal</x:v>
      </x:c>
      <x:c r="F13" s="14" t="str">
        <x:v>Approved for Portfolio Baseline</x:v>
      </x:c>
      <x:c r="G13" s="14" t="str">
        <x:v>1.0</x:v>
      </x:c>
    </x:row>
    <x:row r="14">
      <x:c r="A14" s="14" t="str">
        <x:v>BR-013</x:v>
      </x:c>
      <x:c r="B14" s="14" t="str">
        <x:v>Access Control</x:v>
      </x:c>
      <x:c r="C14" s="14" t="str">
        <x:v>The platform shall enforce SSO, RBAC, row-level security, source permissions and segregation of duties.</x:v>
      </x:c>
      <x:c r="D14" s="14" t="str">
        <x:v>Must</x:v>
      </x:c>
      <x:c r="E14" s="14" t="str">
        <x:v>Information Security</x:v>
      </x:c>
      <x:c r="F14" s="14" t="str">
        <x:v>Approved for Portfolio Baseline</x:v>
      </x:c>
      <x:c r="G14" s="14" t="str">
        <x:v>1.0</x:v>
      </x:c>
    </x:row>
    <x:row r="15">
      <x:c r="A15" s="14" t="str">
        <x:v>BR-014</x:v>
      </x:c>
      <x:c r="B15" s="14" t="str">
        <x:v>Immutable Auditability</x:v>
      </x:c>
      <x:c r="C15" s="14" t="str">
        <x:v>All creation, edits, AI decisions, ownership changes, notifications and exports shall be auditable.</x:v>
      </x:c>
      <x:c r="D15" s="14" t="str">
        <x:v>Must</x:v>
      </x:c>
      <x:c r="E15" s="14" t="str">
        <x:v>Compliance</x:v>
      </x:c>
      <x:c r="F15" s="14" t="str">
        <x:v>Approved for Portfolio Baseline</x:v>
      </x:c>
      <x:c r="G15" s="14" t="str">
        <x:v>1.0</x:v>
      </x:c>
    </x:row>
    <x:row r="16">
      <x:c r="A16" s="14" t="str">
        <x:v>BR-015</x:v>
      </x:c>
      <x:c r="B16" s="14" t="str">
        <x:v>Privacy and Retention</x:v>
      </x:c>
      <x:c r="C16" s="14" t="str">
        <x:v>The platform shall support configurable retention, legal hold, minimization, redaction and regional processing controls.</x:v>
      </x:c>
      <x:c r="D16" s="14" t="str">
        <x:v>Must</x:v>
      </x:c>
      <x:c r="E16" s="14" t="str">
        <x:v>Privacy &amp; Legal</x:v>
      </x:c>
      <x:c r="F16" s="14" t="str">
        <x:v>Approved for Portfolio Baseline</x:v>
      </x:c>
      <x:c r="G16" s="14" t="str">
        <x:v>1.0</x:v>
      </x:c>
    </x:row>
    <x:row r="17">
      <x:c r="A17" s="14" t="str">
        <x:v>BR-016</x:v>
      </x:c>
      <x:c r="B17" s="14" t="str">
        <x:v>Analytics and Export</x:v>
      </x:c>
      <x:c r="C17" s="14" t="str">
        <x:v>Authorized users shall access certified KPIs and export governed datasets to approved BI tools.</x:v>
      </x:c>
      <x:c r="D17" s="14" t="str">
        <x:v>Should</x:v>
      </x:c>
      <x:c r="E17" s="14" t="str">
        <x:v>Data Governance</x:v>
      </x:c>
      <x:c r="F17" s="14" t="str">
        <x:v>Approved for Portfolio Baseline</x:v>
      </x:c>
      <x:c r="G17" s="14" t="str">
        <x:v>1.0</x:v>
      </x:c>
    </x:row>
    <x:row r="18">
      <x:c r="A18" s="14" t="str">
        <x:v>BR-017</x:v>
      </x:c>
      <x:c r="B18" s="14" t="str">
        <x:v>Learning Feedback Loop</x:v>
      </x:c>
      <x:c r="C18" s="14" t="str">
        <x:v>User corrections shall be captured as labeled feedback for monitored model improvement without automatic unsafe retraining.</x:v>
      </x:c>
      <x:c r="D18" s="14" t="str">
        <x:v>Should</x:v>
      </x:c>
      <x:c r="E18" s="14" t="str">
        <x:v>Data Science</x:v>
      </x:c>
      <x:c r="F18" s="14" t="str">
        <x:v>Approved for Portfolio Baseline</x:v>
      </x:c>
      <x:c r="G18" s="14" t="str">
        <x:v>1.0</x:v>
      </x:c>
    </x:row>
    <x:row r="19">
      <x:c r="A19" s="14" t="str">
        <x:v>BR-018</x:v>
      </x:c>
      <x:c r="B19" s="14" t="str">
        <x:v>Administration and Configuration</x:v>
      </x:c>
      <x:c r="C19" s="14" t="str">
        <x:v>Administrators shall manage integrations, policies, reference data, notification templates, feature flags and model thresholds.</x:v>
      </x:c>
      <x:c r="D19" s="14" t="str">
        <x:v>Must</x:v>
      </x:c>
      <x:c r="E19" s="14" t="str">
        <x:v>Platform Operations</x:v>
      </x:c>
      <x:c r="F19" s="14" t="str">
        <x:v>Approved for Portfolio Baseline</x:v>
      </x:c>
      <x:c r="G19" s="14" t="str">
        <x:v>1.0</x:v>
      </x:c>
    </x:row>
  </x:sheetData>
  <x:conditionalFormatting sqref="F2:F19">
    <x:cfRule type="expression" dxfId="0" priority="1">
      <x:formula>F2="Open"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98b6ad571d4c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36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2" customHeight="1">
      <x:c r="A1" s="6" t="str">
        <x:v>requirement_id</x:v>
      </x:c>
      <x:c r="B1" s="6" t="str">
        <x:v>name</x:v>
      </x:c>
      <x:c r="C1" s="6" t="str">
        <x:v>requirement</x:v>
      </x:c>
      <x:c r="D1" s="6" t="str">
        <x:v>parent_br</x:v>
      </x:c>
      <x:c r="E1" s="6" t="str">
        <x:v>priority</x:v>
      </x:c>
      <x:c r="F1" s="6" t="str">
        <x:v>epic_id</x:v>
      </x:c>
      <x:c r="G1" s="6" t="str">
        <x:v>dependency</x:v>
      </x:c>
    </x:row>
    <x:row r="2">
      <x:c r="A2" s="14" t="str">
        <x:v>FR-001</x:v>
      </x:c>
      <x:c r="B2" s="14" t="str">
        <x:v>Connector Registration</x:v>
      </x:c>
      <x:c r="C2" s="14" t="str">
        <x:v>Admin registers a source connector, scopes permissions, validates credentials and activates ingestion.</x:v>
      </x:c>
      <x:c r="D2" s="14" t="str">
        <x:v>BR-001</x:v>
      </x:c>
      <x:c r="E2" s="14" t="str">
        <x:v>Must</x:v>
      </x:c>
      <x:c r="F2" s="14" t="str">
        <x:v>E1</x:v>
      </x:c>
      <x:c r="G2" s="14" t="str"/>
    </x:row>
    <x:row r="3">
      <x:c r="A3" s="14" t="str">
        <x:v>FR-002</x:v>
      </x:c>
      <x:c r="B3" s="14" t="str">
        <x:v>Incremental Ingestion</x:v>
      </x:c>
      <x:c r="C3" s="14" t="str">
        <x:v>System ingests new and changed content using webhooks or checkpoints without duplicate processing.</x:v>
      </x:c>
      <x:c r="D3" s="14" t="str">
        <x:v>BR-001</x:v>
      </x:c>
      <x:c r="E3" s="14" t="str">
        <x:v>Must</x:v>
      </x:c>
      <x:c r="F3" s="14" t="str">
        <x:v>E1</x:v>
      </x:c>
      <x:c r="G3" s="14" t="str"/>
    </x:row>
    <x:row r="4">
      <x:c r="A4" s="14" t="str">
        <x:v>FR-003</x:v>
      </x:c>
      <x:c r="B4" s="14" t="str">
        <x:v>Ingestion Replay</x:v>
      </x:c>
      <x:c r="C4" s="14" t="str">
        <x:v>Authorized support users replay failed ingestion from a durable checkpoint.</x:v>
      </x:c>
      <x:c r="D4" s="14" t="str">
        <x:v>BR-001</x:v>
      </x:c>
      <x:c r="E4" s="14" t="str">
        <x:v>Should</x:v>
      </x:c>
      <x:c r="F4" s="14" t="str">
        <x:v>E1</x:v>
      </x:c>
      <x:c r="G4" s="14" t="str"/>
    </x:row>
    <x:row r="5">
      <x:c r="A5" s="14" t="str">
        <x:v>FR-004</x:v>
      </x:c>
      <x:c r="B5" s="14" t="str">
        <x:v>Content Normalization</x:v>
      </x:c>
      <x:c r="C5" s="14" t="str">
        <x:v>System maps source payloads to a canonical conversation and message model.</x:v>
      </x:c>
      <x:c r="D5" s="14" t="str">
        <x:v>BR-001</x:v>
      </x:c>
      <x:c r="E5" s="14" t="str">
        <x:v>Must</x:v>
      </x:c>
      <x:c r="F5" s="14" t="str">
        <x:v>E1</x:v>
      </x:c>
      <x:c r="G5" s="14" t="str"/>
    </x:row>
    <x:row r="6">
      <x:c r="A6" s="14" t="str">
        <x:v>FR-005</x:v>
      </x:c>
      <x:c r="B6" s="14" t="str">
        <x:v>Language Detection</x:v>
      </x:c>
      <x:c r="C6" s="14" t="str">
        <x:v>System identifies supported language and routes unsupported content to configured handling.</x:v>
      </x:c>
      <x:c r="D6" s="14" t="str">
        <x:v>BR-002</x:v>
      </x:c>
      <x:c r="E6" s="14" t="str">
        <x:v>Should</x:v>
      </x:c>
      <x:c r="F6" s="14" t="str">
        <x:v>E2</x:v>
      </x:c>
      <x:c r="G6" s="14" t="str"/>
    </x:row>
    <x:row r="7">
      <x:c r="A7" s="14" t="str">
        <x:v>FR-006</x:v>
      </x:c>
      <x:c r="B7" s="14" t="str">
        <x:v>Promise Candidate Extraction</x:v>
      </x:c>
      <x:c r="C7" s="14" t="str">
        <x:v>AI returns promise text span, type, owner candidate, deadline candidate and confidence.</x:v>
      </x:c>
      <x:c r="D7" s="14" t="str">
        <x:v>BR-002</x:v>
      </x:c>
      <x:c r="E7" s="14" t="str">
        <x:v>Must</x:v>
      </x:c>
      <x:c r="F7" s="14" t="str">
        <x:v>E2</x:v>
      </x:c>
      <x:c r="G7" s="14" t="str"/>
    </x:row>
    <x:row r="8">
      <x:c r="A8" s="14" t="str">
        <x:v>FR-007</x:v>
      </x:c>
      <x:c r="B8" s="14" t="str">
        <x:v>Confidence Policy</x:v>
      </x:c>
      <x:c r="C8" s="14" t="str">
        <x:v>System auto-creates, queues for review, or suppresses a candidate based on configurable thresholds.</x:v>
      </x:c>
      <x:c r="D8" s="14" t="str">
        <x:v>BR-002</x:v>
      </x:c>
      <x:c r="E8" s="14" t="str">
        <x:v>Must</x:v>
      </x:c>
      <x:c r="F8" s="14" t="str">
        <x:v>E2</x:v>
      </x:c>
      <x:c r="G8" s="14" t="str"/>
    </x:row>
    <x:row r="9">
      <x:c r="A9" s="14" t="str">
        <x:v>FR-008</x:v>
      </x:c>
      <x:c r="B9" s="14" t="str">
        <x:v>Evidence Link</x:v>
      </x:c>
      <x:c r="C9" s="14" t="str">
        <x:v>Promise record displays source message, surrounding context and immutable source reference.</x:v>
      </x:c>
      <x:c r="D9" s="14" t="str">
        <x:v>BR-003</x:v>
      </x:c>
      <x:c r="E9" s="14" t="str">
        <x:v>Must</x:v>
      </x:c>
      <x:c r="F9" s="14" t="str">
        <x:v>E3</x:v>
      </x:c>
      <x:c r="G9" s="14" t="str"/>
    </x:row>
    <x:row r="10">
      <x:c r="A10" s="14" t="str">
        <x:v>FR-009</x:v>
      </x:c>
      <x:c r="B10" s="14" t="str">
        <x:v>Owner Resolution</x:v>
      </x:c>
      <x:c r="C10" s="14" t="str">
        <x:v>System resolves people and teams using directory, aliases, conversation membership and project context.</x:v>
      </x:c>
      <x:c r="D10" s="14" t="str">
        <x:v>BR-004</x:v>
      </x:c>
      <x:c r="E10" s="14" t="str">
        <x:v>Must</x:v>
      </x:c>
      <x:c r="F10" s="14" t="str">
        <x:v>E2</x:v>
      </x:c>
      <x:c r="G10" s="14" t="str"/>
    </x:row>
    <x:row r="11">
      <x:c r="A11" s="14" t="str">
        <x:v>FR-010</x:v>
      </x:c>
      <x:c r="B11" s="14" t="str">
        <x:v>Owner Confirmation</x:v>
      </x:c>
      <x:c r="C11" s="14" t="str">
        <x:v>Detected owner can accept, reject, delegate or propose a corrected owner.</x:v>
      </x:c>
      <x:c r="D11" s="14" t="str">
        <x:v>BR-004</x:v>
      </x:c>
      <x:c r="E11" s="14" t="str">
        <x:v>Must</x:v>
      </x:c>
      <x:c r="F11" s="14" t="str">
        <x:v>E3</x:v>
      </x:c>
      <x:c r="G11" s="14" t="str"/>
    </x:row>
    <x:row r="12">
      <x:c r="A12" s="14" t="str">
        <x:v>FR-011</x:v>
      </x:c>
      <x:c r="B12" s="14" t="str">
        <x:v>Deadline Resolution</x:v>
      </x:c>
      <x:c r="C12" s="14" t="str">
        <x:v>System converts relative language to a timestamp using business calendar, locale and time zone.</x:v>
      </x:c>
      <x:c r="D12" s="14" t="str">
        <x:v>BR-005</x:v>
      </x:c>
      <x:c r="E12" s="14" t="str">
        <x:v>Must</x:v>
      </x:c>
      <x:c r="F12" s="14" t="str">
        <x:v>E2</x:v>
      </x:c>
      <x:c r="G12" s="14" t="str"/>
    </x:row>
    <x:row r="13">
      <x:c r="A13" s="14" t="str">
        <x:v>FR-012</x:v>
      </x:c>
      <x:c r="B13" s="14" t="str">
        <x:v>Ambiguous Deadline Review</x:v>
      </x:c>
      <x:c r="C13" s="14" t="str">
        <x:v>Ambiguous dates are flagged and require user confirmation before SLA enforcement.</x:v>
      </x:c>
      <x:c r="D13" s="14" t="str">
        <x:v>BR-005</x:v>
      </x:c>
      <x:c r="E13" s="14" t="str">
        <x:v>Must</x:v>
      </x:c>
      <x:c r="F13" s="14" t="str">
        <x:v>E3</x:v>
      </x:c>
      <x:c r="G13" s="14" t="str"/>
    </x:row>
    <x:row r="14">
      <x:c r="A14" s="14" t="str">
        <x:v>FR-013</x:v>
      </x:c>
      <x:c r="B14" s="14" t="str">
        <x:v>Status Transition</x:v>
      </x:c>
      <x:c r="C14" s="14" t="str">
        <x:v>Users update commitment status subject to state-transition rules.</x:v>
      </x:c>
      <x:c r="D14" s="14" t="str">
        <x:v>BR-006</x:v>
      </x:c>
      <x:c r="E14" s="14" t="str">
        <x:v>Must</x:v>
      </x:c>
      <x:c r="F14" s="14" t="str">
        <x:v>E3</x:v>
      </x:c>
      <x:c r="G14" s="14" t="str"/>
    </x:row>
    <x:row r="15">
      <x:c r="A15" s="14" t="str">
        <x:v>FR-014</x:v>
      </x:c>
      <x:c r="B15" s="14" t="str">
        <x:v>Ownership Reassignment</x:v>
      </x:c>
      <x:c r="C15" s="14" t="str">
        <x:v>Authorized users reassign commitment with reason, effective time and notification.</x:v>
      </x:c>
      <x:c r="D15" s="14" t="str">
        <x:v>BR-006</x:v>
      </x:c>
      <x:c r="E15" s="14" t="str">
        <x:v>Must</x:v>
      </x:c>
      <x:c r="F15" s="14" t="str">
        <x:v>E3</x:v>
      </x:c>
      <x:c r="G15" s="14" t="str"/>
    </x:row>
    <x:row r="16">
      <x:c r="A16" s="14" t="str">
        <x:v>FR-015</x:v>
      </x:c>
      <x:c r="B16" s="14" t="str">
        <x:v>Delay / Due Date Change</x:v>
      </x:c>
      <x:c r="C16" s="14" t="str">
        <x:v>Owner requests a due-date change; system captures reason and optional manager approval.</x:v>
      </x:c>
      <x:c r="D16" s="14" t="str">
        <x:v>BR-006</x:v>
      </x:c>
      <x:c r="E16" s="14" t="str">
        <x:v>Should</x:v>
      </x:c>
      <x:c r="F16" s="14" t="str">
        <x:v>E3</x:v>
      </x:c>
      <x:c r="G16" s="14" t="str"/>
    </x:row>
    <x:row r="17">
      <x:c r="A17" s="14" t="str">
        <x:v>FR-016</x:v>
      </x:c>
      <x:c r="B17" s="14" t="str">
        <x:v>Reminder Scheduling</x:v>
      </x:c>
      <x:c r="C17" s="14" t="str">
        <x:v>System schedules reminders by priority, due date, risk score and user preferences.</x:v>
      </x:c>
      <x:c r="D17" s="14" t="str">
        <x:v>BR-007</x:v>
      </x:c>
      <x:c r="E17" s="14" t="str">
        <x:v>Must</x:v>
      </x:c>
      <x:c r="F17" s="14" t="str">
        <x:v>E4</x:v>
      </x:c>
      <x:c r="G17" s="14" t="str"/>
    </x:row>
    <x:row r="18">
      <x:c r="A18" s="14" t="str">
        <x:v>FR-017</x:v>
      </x:c>
      <x:c r="B18" s="14" t="str">
        <x:v>Escalation Rules</x:v>
      </x:c>
      <x:c r="C18" s="14" t="str">
        <x:v>System evaluates overdue, risk, dependency and inactivity conditions and creates escalation events.</x:v>
      </x:c>
      <x:c r="D18" s="14" t="str">
        <x:v>BR-008</x:v>
      </x:c>
      <x:c r="E18" s="14" t="str">
        <x:v>Must</x:v>
      </x:c>
      <x:c r="F18" s="14" t="str">
        <x:v>E4</x:v>
      </x:c>
      <x:c r="G18" s="14" t="str"/>
    </x:row>
    <x:row r="19">
      <x:c r="A19" s="14" t="str">
        <x:v>FR-018</x:v>
      </x:c>
      <x:c r="B19" s="14" t="str">
        <x:v>Notification Actions</x:v>
      </x:c>
      <x:c r="C19" s="14" t="str">
        <x:v>Recipients can open, snooze, update, reassign or complete from supported notification surfaces.</x:v>
      </x:c>
      <x:c r="D19" s="14" t="str">
        <x:v>BR-007</x:v>
      </x:c>
      <x:c r="E19" s="14" t="str">
        <x:v>Should</x:v>
      </x:c>
      <x:c r="F19" s="14" t="str">
        <x:v>E4</x:v>
      </x:c>
      <x:c r="G19" s="14" t="str"/>
    </x:row>
    <x:row r="20">
      <x:c r="A20" s="14" t="str">
        <x:v>FR-019</x:v>
      </x:c>
      <x:c r="B20" s="14" t="str">
        <x:v>Search and Filters</x:v>
      </x:c>
      <x:c r="C20" s="14" t="str">
        <x:v>Users search full text and apply compound filters with saved views.</x:v>
      </x:c>
      <x:c r="D20" s="14" t="str">
        <x:v>BR-009</x:v>
      </x:c>
      <x:c r="E20" s="14" t="str">
        <x:v>Must</x:v>
      </x:c>
      <x:c r="F20" s="14" t="str">
        <x:v>E5</x:v>
      </x:c>
      <x:c r="G20" s="14" t="str"/>
    </x:row>
    <x:row r="21">
      <x:c r="A21" s="14" t="str">
        <x:v>FR-020</x:v>
      </x:c>
      <x:c r="B21" s="14" t="str">
        <x:v>Conversation Timeline</x:v>
      </x:c>
      <x:c r="C21" s="14" t="str">
        <x:v>Promise detail shows chronological source messages, lifecycle events, reminders and decisions.</x:v>
      </x:c>
      <x:c r="D21" s="14" t="str">
        <x:v>BR-003</x:v>
      </x:c>
      <x:c r="E21" s="14" t="str">
        <x:v>Must</x:v>
      </x:c>
      <x:c r="F21" s="14" t="str">
        <x:v>E5</x:v>
      </x:c>
      <x:c r="G21" s="14" t="str"/>
    </x:row>
    <x:row r="22">
      <x:c r="A22" s="14" t="str">
        <x:v>FR-021</x:v>
      </x:c>
      <x:c r="B22" s="14" t="str">
        <x:v>Executive Dashboard</x:v>
      </x:c>
      <x:c r="C22" s="14" t="str">
        <x:v>Executives view enterprise completion, aging, SLA, risk and trend KPIs with drill-down.</x:v>
      </x:c>
      <x:c r="D22" s="14" t="str">
        <x:v>BR-010</x:v>
      </x:c>
      <x:c r="E22" s="14" t="str">
        <x:v>Must</x:v>
      </x:c>
      <x:c r="F22" s="14" t="str">
        <x:v>E6</x:v>
      </x:c>
      <x:c r="G22" s="14" t="str"/>
    </x:row>
    <x:row r="23">
      <x:c r="A23" s="14" t="str">
        <x:v>FR-022</x:v>
      </x:c>
      <x:c r="B23" s="14" t="str">
        <x:v>Manager Dashboard</x:v>
      </x:c>
      <x:c r="C23" s="14" t="str">
        <x:v>Managers view team workload, overdue items, ownership changes and bottlenecks.</x:v>
      </x:c>
      <x:c r="D23" s="14" t="str">
        <x:v>BR-010</x:v>
      </x:c>
      <x:c r="E23" s="14" t="str">
        <x:v>Must</x:v>
      </x:c>
      <x:c r="F23" s="14" t="str">
        <x:v>E6</x:v>
      </x:c>
      <x:c r="G23" s="14" t="str"/>
    </x:row>
    <x:row r="24">
      <x:c r="A24" s="14" t="str">
        <x:v>FR-023</x:v>
      </x:c>
      <x:c r="B24" s="14" t="str">
        <x:v>Employee My Commitments</x:v>
      </x:c>
      <x:c r="C24" s="14" t="str">
        <x:v>Employees view commitments they own, owe, follow, or recently completed.</x:v>
      </x:c>
      <x:c r="D24" s="14" t="str">
        <x:v>BR-010</x:v>
      </x:c>
      <x:c r="E24" s="14" t="str">
        <x:v>Must</x:v>
      </x:c>
      <x:c r="F24" s="14" t="str">
        <x:v>E6</x:v>
      </x:c>
      <x:c r="G24" s="14" t="str"/>
    </x:row>
    <x:row r="25">
      <x:c r="A25" s="14" t="str">
        <x:v>FR-024</x:v>
      </x:c>
      <x:c r="B25" s="14" t="str">
        <x:v>Scheduled Reports</x:v>
      </x:c>
      <x:c r="C25" s="14" t="str">
        <x:v>Authorized users schedule reports with filters, format, recipients and delivery channel.</x:v>
      </x:c>
      <x:c r="D25" s="14" t="str">
        <x:v>BR-011</x:v>
      </x:c>
      <x:c r="E25" s="14" t="str">
        <x:v>Should</x:v>
      </x:c>
      <x:c r="F25" s="14" t="str">
        <x:v>E6</x:v>
      </x:c>
      <x:c r="G25" s="14" t="str"/>
    </x:row>
    <x:row r="26">
      <x:c r="A26" s="14" t="str">
        <x:v>FR-025</x:v>
      </x:c>
      <x:c r="B26" s="14" t="str">
        <x:v>AI Review Queue</x:v>
      </x:c>
      <x:c r="C26" s="14" t="str">
        <x:v>Reviewers approve, edit, reject, merge and label false positive/negative reasons.</x:v>
      </x:c>
      <x:c r="D26" s="14" t="str">
        <x:v>BR-012</x:v>
      </x:c>
      <x:c r="E26" s="14" t="str">
        <x:v>Must</x:v>
      </x:c>
      <x:c r="F26" s="14" t="str">
        <x:v>E2</x:v>
      </x:c>
      <x:c r="G26" s="14" t="str"/>
    </x:row>
    <x:row r="27">
      <x:c r="A27" s="14" t="str">
        <x:v>FR-026</x:v>
      </x:c>
      <x:c r="B27" s="14" t="str">
        <x:v>Dispute Workflow</x:v>
      </x:c>
      <x:c r="C27" s="14" t="str">
        <x:v>A disputed promise is frozen from punitive metrics until reviewed under policy.</x:v>
      </x:c>
      <x:c r="D27" s="14" t="str">
        <x:v>BR-012</x:v>
      </x:c>
      <x:c r="E27" s="14" t="str">
        <x:v>Must</x:v>
      </x:c>
      <x:c r="F27" s="14" t="str">
        <x:v>E3</x:v>
      </x:c>
      <x:c r="G27" s="14" t="str"/>
    </x:row>
    <x:row r="28">
      <x:c r="A28" s="14" t="str">
        <x:v>FR-027</x:v>
      </x:c>
      <x:c r="B28" s="14" t="str">
        <x:v>RBAC and Row Security</x:v>
      </x:c>
      <x:c r="C28" s="14" t="str">
        <x:v>Access is evaluated from enterprise identity, source ACLs, role and organizational hierarchy.</x:v>
      </x:c>
      <x:c r="D28" s="14" t="str">
        <x:v>BR-013</x:v>
      </x:c>
      <x:c r="E28" s="14" t="str">
        <x:v>Must</x:v>
      </x:c>
      <x:c r="F28" s="14" t="str">
        <x:v>E7</x:v>
      </x:c>
      <x:c r="G28" s="14" t="str"/>
    </x:row>
    <x:row r="29">
      <x:c r="A29" s="14" t="str">
        <x:v>FR-028</x:v>
      </x:c>
      <x:c r="B29" s="14" t="str">
        <x:v>Audit Search and Export</x:v>
      </x:c>
      <x:c r="C29" s="14" t="str">
        <x:v>Compliance users query and export immutable audit events under approved purpose.</x:v>
      </x:c>
      <x:c r="D29" s="14" t="str">
        <x:v>BR-014</x:v>
      </x:c>
      <x:c r="E29" s="14" t="str">
        <x:v>Must</x:v>
      </x:c>
      <x:c r="F29" s="14" t="str">
        <x:v>E7</x:v>
      </x:c>
      <x:c r="G29" s="14" t="str"/>
    </x:row>
    <x:row r="30">
      <x:c r="A30" s="14" t="str">
        <x:v>FR-029</x:v>
      </x:c>
      <x:c r="B30" s="14" t="str">
        <x:v>Retention and Legal Hold</x:v>
      </x:c>
      <x:c r="C30" s="14" t="str">
        <x:v>Data is deleted or retained according to source, region, record type and legal hold.</x:v>
      </x:c>
      <x:c r="D30" s="14" t="str">
        <x:v>BR-015</x:v>
      </x:c>
      <x:c r="E30" s="14" t="str">
        <x:v>Must</x:v>
      </x:c>
      <x:c r="F30" s="14" t="str">
        <x:v>E7</x:v>
      </x:c>
      <x:c r="G30" s="14" t="str"/>
    </x:row>
    <x:row r="31">
      <x:c r="A31" s="14" t="str">
        <x:v>FR-030</x:v>
      </x:c>
      <x:c r="B31" s="14" t="str">
        <x:v>Admin Configuration</x:v>
      </x:c>
      <x:c r="C31" s="14" t="str">
        <x:v>Admin manages thresholds, SLAs, calendars, templates, reference data and feature flags.</x:v>
      </x:c>
      <x:c r="D31" s="14" t="str">
        <x:v>BR-018</x:v>
      </x:c>
      <x:c r="E31" s="14" t="str">
        <x:v>Must</x:v>
      </x:c>
      <x:c r="F31" s="14" t="str">
        <x:v>E8</x:v>
      </x:c>
      <x:c r="G31" s="14" t="str"/>
    </x:row>
  </x:sheetData>
  <x:pageMargins left="0.7" right="0.7" top="0.75" bottom="0.75" header="0.3" footer="0.3"/>
  <x:tableParts count="1">
    <x:tablePart xmlns:r="http://schemas.openxmlformats.org/officeDocument/2006/relationships" r:id="R8a53c3a790714f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36" hidden="0" customWidth="1"/>
    <x:col min="4" max="4" width="18" hidden="0" customWidth="1"/>
    <x:col min="5" max="5" width="15" hidden="0" customWidth="1"/>
  </x:cols>
  <x:sheetData>
    <x:row r="1" ht="32" customHeight="1">
      <x:c r="A1" s="6" t="str">
        <x:v>requirement_id</x:v>
      </x:c>
      <x:c r="B1" s="6" t="str">
        <x:v>category</x:v>
      </x:c>
      <x:c r="C1" s="6" t="str">
        <x:v>requirement</x:v>
      </x:c>
      <x:c r="D1" s="6" t="str">
        <x:v>parent_br</x:v>
      </x:c>
      <x:c r="E1" s="6" t="str">
        <x:v>priority</x:v>
      </x:c>
    </x:row>
    <x:row r="2">
      <x:c r="A2" s="14" t="str">
        <x:v>NFR-001</x:v>
      </x:c>
      <x:c r="B2" s="14" t="str">
        <x:v>Availability</x:v>
      </x:c>
      <x:c r="C2" s="14" t="str">
        <x:v>Core ledger and API services shall achieve 99.9% monthly availability; reporting may operate at 99.5%.</x:v>
      </x:c>
      <x:c r="D2" s="14" t="str">
        <x:v>BR-010</x:v>
      </x:c>
      <x:c r="E2" s="14" t="str">
        <x:v>Must</x:v>
      </x:c>
    </x:row>
    <x:row r="3">
      <x:c r="A3" s="14" t="str">
        <x:v>NFR-002</x:v>
      </x:c>
      <x:c r="B3" s="14" t="str">
        <x:v>Performance</x:v>
      </x:c>
      <x:c r="C3" s="14" t="str">
        <x:v>P95 ledger search shall complete within 2 seconds for standard filters; P95 promise detail within 1.5 seconds.</x:v>
      </x:c>
      <x:c r="D3" s="14" t="str">
        <x:v>BR-009</x:v>
      </x:c>
      <x:c r="E3" s="14" t="str">
        <x:v>Must</x:v>
      </x:c>
    </x:row>
    <x:row r="4">
      <x:c r="A4" s="14" t="str">
        <x:v>NFR-003</x:v>
      </x:c>
      <x:c r="B4" s="14" t="str">
        <x:v>Ingestion Latency</x:v>
      </x:c>
      <x:c r="C4" s="14" t="str">
        <x:v>95% of webhook-supported messages shall be normalized within 5 minutes; batch connectors within 30 minutes.</x:v>
      </x:c>
      <x:c r="D4" s="14" t="str">
        <x:v>BR-001</x:v>
      </x:c>
      <x:c r="E4" s="14" t="str">
        <x:v>Must</x:v>
      </x:c>
    </x:row>
    <x:row r="5">
      <x:c r="A5" s="14" t="str">
        <x:v>NFR-004</x:v>
      </x:c>
      <x:c r="B5" s="14" t="str">
        <x:v>Scalability</x:v>
      </x:c>
      <x:c r="C5" s="14" t="str">
        <x:v>Architecture shall support 25,000 users, 20 million messages/month and 250,000 active promises without redesign.</x:v>
      </x:c>
      <x:c r="D5" s="14" t="str">
        <x:v>BR-001</x:v>
      </x:c>
      <x:c r="E5" s="14" t="str">
        <x:v>Should</x:v>
      </x:c>
    </x:row>
    <x:row r="6">
      <x:c r="A6" s="14" t="str">
        <x:v>NFR-005</x:v>
      </x:c>
      <x:c r="B6" s="14" t="str">
        <x:v>Security</x:v>
      </x:c>
      <x:c r="C6" s="14" t="str">
        <x:v>Data shall be encrypted in transit and at rest using enterprise-approved algorithms and managed keys.</x:v>
      </x:c>
      <x:c r="D6" s="14" t="str">
        <x:v>BR-013</x:v>
      </x:c>
      <x:c r="E6" s="14" t="str">
        <x:v>Must</x:v>
      </x:c>
    </x:row>
    <x:row r="7">
      <x:c r="A7" s="14" t="str">
        <x:v>NFR-006</x:v>
      </x:c>
      <x:c r="B7" s="14" t="str">
        <x:v>Identity</x:v>
      </x:c>
      <x:c r="C7" s="14" t="str">
        <x:v>SSO shall support OIDC/SAML, MFA enforcement and SCIM lifecycle provisioning.</x:v>
      </x:c>
      <x:c r="D7" s="14" t="str">
        <x:v>BR-013</x:v>
      </x:c>
      <x:c r="E7" s="14" t="str">
        <x:v>Must</x:v>
      </x:c>
    </x:row>
    <x:row r="8">
      <x:c r="A8" s="14" t="str">
        <x:v>NFR-007</x:v>
      </x:c>
      <x:c r="B8" s="14" t="str">
        <x:v>Audit</x:v>
      </x:c>
      <x:c r="C8" s="14" t="str">
        <x:v>Audit events shall be append-only, time-synchronized, queryable and retained for seven years where required.</x:v>
      </x:c>
      <x:c r="D8" s="14" t="str">
        <x:v>BR-014</x:v>
      </x:c>
      <x:c r="E8" s="14" t="str">
        <x:v>Must</x:v>
      </x:c>
    </x:row>
    <x:row r="9">
      <x:c r="A9" s="14" t="str">
        <x:v>NFR-008</x:v>
      </x:c>
      <x:c r="B9" s="14" t="str">
        <x:v>Privacy</x:v>
      </x:c>
      <x:c r="C9" s="14" t="str">
        <x:v>Sensitive content shall support masking, minimization, regional routing and configurable retention.</x:v>
      </x:c>
      <x:c r="D9" s="14" t="str">
        <x:v>BR-015</x:v>
      </x:c>
      <x:c r="E9" s="14" t="str">
        <x:v>Must</x:v>
      </x:c>
    </x:row>
    <x:row r="10">
      <x:c r="A10" s="14" t="str">
        <x:v>NFR-009</x:v>
      </x:c>
      <x:c r="B10" s="14" t="str">
        <x:v>Accessibility</x:v>
      </x:c>
      <x:c r="C10" s="14" t="str">
        <x:v>User interfaces shall conform to WCAG 2.2 AA for supported workflows.</x:v>
      </x:c>
      <x:c r="D10" s="14" t="str">
        <x:v>BR-010</x:v>
      </x:c>
      <x:c r="E10" s="14" t="str">
        <x:v>Must</x:v>
      </x:c>
    </x:row>
    <x:row r="11">
      <x:c r="A11" s="14" t="str">
        <x:v>NFR-010</x:v>
      </x:c>
      <x:c r="B11" s="14" t="str">
        <x:v>Observability</x:v>
      </x:c>
      <x:c r="C11" s="14" t="str">
        <x:v>Services shall emit structured logs, metrics and traces with correlation IDs and privacy-safe fields.</x:v>
      </x:c>
      <x:c r="D11" s="14" t="str">
        <x:v>BR-014</x:v>
      </x:c>
      <x:c r="E11" s="14" t="str">
        <x:v>Must</x:v>
      </x:c>
    </x:row>
    <x:row r="12">
      <x:c r="A12" s="14" t="str">
        <x:v>NFR-011</x:v>
      </x:c>
      <x:c r="B12" s="14" t="str">
        <x:v>Recovery</x:v>
      </x:c>
      <x:c r="C12" s="14" t="str">
        <x:v>RPO shall be 15 minutes and RTO 4 hours for production ledger services.</x:v>
      </x:c>
      <x:c r="D12" s="14" t="str">
        <x:v>BR-010</x:v>
      </x:c>
      <x:c r="E12" s="14" t="str">
        <x:v>Must</x:v>
      </x:c>
    </x:row>
    <x:row r="13">
      <x:c r="A13" s="14" t="str">
        <x:v>NFR-012</x:v>
      </x:c>
      <x:c r="B13" s="14" t="str">
        <x:v>Interoperability</x:v>
      </x:c>
      <x:c r="C13" s="14" t="str">
        <x:v>APIs shall use versioned REST/JSON contracts and event schemas with backward compatibility policy.</x:v>
      </x:c>
      <x:c r="D13" s="14" t="str">
        <x:v>BR-016</x:v>
      </x:c>
      <x:c r="E13" s="14" t="str">
        <x:v>Should</x:v>
      </x:c>
    </x:row>
    <x:row r="14">
      <x:c r="A14" s="14" t="str">
        <x:v>NFR-013</x:v>
      </x:c>
      <x:c r="B14" s="14" t="str">
        <x:v>Model Quality</x:v>
      </x:c>
      <x:c r="C14" s="14" t="str">
        <x:v>Production promise detection shall maintain precision &gt;= 0.88 and recall &gt;= 0.80 on the governed evaluation set.</x:v>
      </x:c>
      <x:c r="D14" s="14" t="str">
        <x:v>BR-002</x:v>
      </x:c>
      <x:c r="E14" s="14" t="str">
        <x:v>Must</x:v>
      </x:c>
    </x:row>
    <x:row r="15">
      <x:c r="A15" s="14" t="str">
        <x:v>NFR-014</x:v>
      </x:c>
      <x:c r="B15" s="14" t="str">
        <x:v>Explainability</x:v>
      </x:c>
      <x:c r="C15" s="14" t="str">
        <x:v>AI decisions shall expose evidence span, extracted fields, confidence and model version to authorized users.</x:v>
      </x:c>
      <x:c r="D15" s="14" t="str">
        <x:v>BR-012</x:v>
      </x:c>
      <x:c r="E15" s="14" t="str">
        <x:v>Must</x:v>
      </x:c>
    </x:row>
    <x:row r="16">
      <x:c r="A16" s="14" t="str">
        <x:v>NFR-015</x:v>
      </x:c>
      <x:c r="B16" s="14" t="str">
        <x:v>Maintainability</x:v>
      </x:c>
      <x:c r="C16" s="14" t="str">
        <x:v>Critical services shall meet automated test, code quality and deployment rollback standards.</x:v>
      </x:c>
      <x:c r="D16" s="14" t="str">
        <x:v>BR-018</x:v>
      </x:c>
      <x:c r="E16" s="14" t="str">
        <x:v>Should</x:v>
      </x:c>
    </x:row>
  </x:sheetData>
  <x:pageMargins left="0.7" right="0.7" top="0.75" bottom="0.75" header="0.3" footer="0.3"/>
  <x:tableParts count="1">
    <x:tablePart xmlns:r="http://schemas.openxmlformats.org/officeDocument/2006/relationships" r:id="R49d31e771c674f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36" hidden="0" customWidth="1"/>
  </x:cols>
  <x:sheetData>
    <x:row r="1" ht="32" customHeight="1">
      <x:c r="A1" s="6" t="str">
        <x:v>epic_id</x:v>
      </x:c>
      <x:c r="B1" s="6" t="str">
        <x:v>epic_name</x:v>
      </x:c>
      <x:c r="C1" s="6" t="str">
        <x:v>outcome</x:v>
      </x:c>
    </x:row>
    <x:row r="2">
      <x:c r="A2" s="14" t="str">
        <x:v>E1</x:v>
      </x:c>
      <x:c r="B2" s="14" t="str">
        <x:v>Secure Omnichannel Ingestion</x:v>
      </x:c>
      <x:c r="C2" s="14" t="str">
        <x:v>Approved enterprise content arrives reliably in a canonical schema with replay and observability.</x:v>
      </x:c>
    </x:row>
    <x:row r="3">
      <x:c r="A3" s="14" t="str">
        <x:v>E2</x:v>
      </x:c>
      <x:c r="B3" s="14" t="str">
        <x:v>AI Commitment Intelligence</x:v>
      </x:c>
      <x:c r="C3" s="14" t="str">
        <x:v>Commitments, owners, deadlines, types and risks are extracted with governed human review.</x:v>
      </x:c>
    </x:row>
    <x:row r="4">
      <x:c r="A4" s="14" t="str">
        <x:v>E3</x:v>
      </x:c>
      <x:c r="B4" s="14" t="str">
        <x:v>Promise Ledger and Workflow</x:v>
      </x:c>
      <x:c r="C4" s="14" t="str">
        <x:v>Every confirmed promise has evidence, accountable ownership and a controlled lifecycle.</x:v>
      </x:c>
    </x:row>
    <x:row r="5">
      <x:c r="A5" s="14" t="str">
        <x:v>E4</x:v>
      </x:c>
      <x:c r="B5" s="14" t="str">
        <x:v>Notifications and Escalations</x:v>
      </x:c>
      <x:c r="C5" s="14" t="str">
        <x:v>Timely, low-noise interventions reduce forgotten and overdue commitments.</x:v>
      </x:c>
    </x:row>
    <x:row r="6">
      <x:c r="A6" s="14" t="str">
        <x:v>E5</x:v>
      </x:c>
      <x:c r="B6" s="14" t="str">
        <x:v>Search and Conversation Context</x:v>
      </x:c>
      <x:c r="C6" s="14" t="str">
        <x:v>Users can locate commitments and understand the complete conversation trail.</x:v>
      </x:c>
    </x:row>
    <x:row r="7">
      <x:c r="A7" s="14" t="str">
        <x:v>E6</x:v>
      </x:c>
      <x:c r="B7" s="14" t="str">
        <x:v>Analytics, Dashboards and Reporting</x:v>
      </x:c>
      <x:c r="C7" s="14" t="str">
        <x:v>Personas receive trusted KPIs and actionable operational insight.</x:v>
      </x:c>
    </x:row>
    <x:row r="8">
      <x:c r="A8" s="14" t="str">
        <x:v>E7</x:v>
      </x:c>
      <x:c r="B8" s="14" t="str">
        <x:v>Security, Privacy and Compliance</x:v>
      </x:c>
      <x:c r="C8" s="14" t="str">
        <x:v>Access, retention, audit and employee monitoring controls are enterprise-ready.</x:v>
      </x:c>
    </x:row>
    <x:row r="9">
      <x:c r="A9" s="14" t="str">
        <x:v>E8</x:v>
      </x:c>
      <x:c r="B9" s="14" t="str">
        <x:v>Administration and Platform Operations</x:v>
      </x:c>
      <x:c r="C9" s="14" t="str">
        <x:v>Platform teams can configure, operate, support and evolve OpenLoop safely.</x:v>
      </x:c>
    </x:row>
  </x:sheetData>
  <x:pageMargins left="0.7" right="0.7" top="0.75" bottom="0.75" header="0.3" footer="0.3"/>
  <x:tableParts count="1">
    <x:tablePart xmlns:r="http://schemas.openxmlformats.org/officeDocument/2006/relationships" r:id="R3cd438ff3a4e447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8" hidden="0" customWidth="1"/>
  </x:cols>
  <x:sheetData>
    <x:row r="1" ht="32" customHeight="1">
      <x:c r="A1" s="6" t="str">
        <x:v>story_id</x:v>
      </x:c>
      <x:c r="B1" s="6" t="str">
        <x:v>epic_id</x:v>
      </x:c>
      <x:c r="C1" s="6" t="str">
        <x:v>user_story</x:v>
      </x:c>
      <x:c r="D1" s="6" t="str">
        <x:v>moscow</x:v>
      </x:c>
      <x:c r="E1" s="6" t="str">
        <x:v>story_points</x:v>
      </x:c>
      <x:c r="F1" s="6" t="str">
        <x:v>primary_fr</x:v>
      </x:c>
      <x:c r="G1" s="6" t="str">
        <x:v>invest</x:v>
      </x:c>
      <x:c r="H1" s="6" t="str">
        <x:v>status</x:v>
      </x:c>
      <x:c r="I1" s="6" t="str">
        <x:v>release</x:v>
      </x:c>
    </x:row>
    <x:row r="2">
      <x:c r="A2" s="14" t="str">
        <x:v>US-001</x:v>
      </x:c>
      <x:c r="B2" s="14" t="str">
        <x:v>E1</x:v>
      </x:c>
      <x:c r="C2" s="14" t="str">
        <x:v>As an integration administrator, I want to register a Slack workspace with approved scopes so that OpenLoop can ingest only authorized content.</x:v>
      </x:c>
      <x:c r="D2" s="14" t="str">
        <x:v>Must</x:v>
      </x:c>
      <x:c r="E2" s="14" t="n">
        <x:v>8</x:v>
      </x:c>
      <x:c r="F2" s="14" t="str">
        <x:v>FR-001</x:v>
      </x:c>
      <x:c r="G2" s="14" t="str">
        <x:v>Pass</x:v>
      </x:c>
      <x:c r="H2" s="14" t="str">
        <x:v>Ready for Refinement</x:v>
      </x:c>
      <x:c r="I2" s="14" t="str">
        <x:v>MVP</x:v>
      </x:c>
    </x:row>
    <x:row r="3">
      <x:c r="A3" s="14" t="str">
        <x:v>US-002</x:v>
      </x:c>
      <x:c r="B3" s="14" t="str">
        <x:v>E1</x:v>
      </x:c>
      <x:c r="C3" s="14" t="str">
        <x:v>As a platform operator, I want idempotent checkpoint processing so that retries do not create duplicate messages or promises.</x:v>
      </x:c>
      <x:c r="D3" s="14" t="str">
        <x:v>Must</x:v>
      </x:c>
      <x:c r="E3" s="14" t="n">
        <x:v>8</x:v>
      </x:c>
      <x:c r="F3" s="14" t="str">
        <x:v>FR-002</x:v>
      </x:c>
      <x:c r="G3" s="14" t="str">
        <x:v>Pass</x:v>
      </x:c>
      <x:c r="H3" s="14" t="str">
        <x:v>Ready for Refinement</x:v>
      </x:c>
      <x:c r="I3" s="14" t="str">
        <x:v>MVP</x:v>
      </x:c>
    </x:row>
    <x:row r="4">
      <x:c r="A4" s="14" t="str">
        <x:v>US-003</x:v>
      </x:c>
      <x:c r="B4" s="14" t="str">
        <x:v>E1</x:v>
      </x:c>
      <x:c r="C4" s="14" t="str">
        <x:v>As support staff, I want to replay a failed ingestion window so that missing source content can be recovered without engineering intervention.</x:v>
      </x:c>
      <x:c r="D4" s="14" t="str">
        <x:v>Should</x:v>
      </x:c>
      <x:c r="E4" s="14" t="n">
        <x:v>5</x:v>
      </x:c>
      <x:c r="F4" s="14" t="str">
        <x:v>FR-003</x:v>
      </x:c>
      <x:c r="G4" s="14" t="str">
        <x:v>Pass</x:v>
      </x:c>
      <x:c r="H4" s="14" t="str">
        <x:v>Ready for Refinement</x:v>
      </x:c>
      <x:c r="I4" s="14" t="str">
        <x:v>Release 1.1</x:v>
      </x:c>
    </x:row>
    <x:row r="5">
      <x:c r="A5" s="14" t="str">
        <x:v>US-004</x:v>
      </x:c>
      <x:c r="B5" s="14" t="str">
        <x:v>E2</x:v>
      </x:c>
      <x:c r="C5" s="14" t="str">
        <x:v>As a promise owner, I want detected commitment text and evidence highlighted so that I understand why the AI created the item.</x:v>
      </x:c>
      <x:c r="D5" s="14" t="str">
        <x:v>Must</x:v>
      </x:c>
      <x:c r="E5" s="14" t="n">
        <x:v>5</x:v>
      </x:c>
      <x:c r="F5" s="14" t="str">
        <x:v>FR-006</x:v>
      </x:c>
      <x:c r="G5" s="14" t="str">
        <x:v>Pass</x:v>
      </x:c>
      <x:c r="H5" s="14" t="str">
        <x:v>Ready for Refinement</x:v>
      </x:c>
      <x:c r="I5" s="14" t="str">
        <x:v>MVP</x:v>
      </x:c>
    </x:row>
    <x:row r="6">
      <x:c r="A6" s="14" t="str">
        <x:v>US-005</x:v>
      </x:c>
      <x:c r="B6" s="14" t="str">
        <x:v>E2</x:v>
      </x:c>
      <x:c r="C6" s="14" t="str">
        <x:v>As a reviewer, I want low-confidence candidates routed to a queue so that false positives do not affect accountability metrics.</x:v>
      </x:c>
      <x:c r="D6" s="14" t="str">
        <x:v>Must</x:v>
      </x:c>
      <x:c r="E6" s="14" t="n">
        <x:v>8</x:v>
      </x:c>
      <x:c r="F6" s="14" t="str">
        <x:v>FR-007</x:v>
      </x:c>
      <x:c r="G6" s="14" t="str">
        <x:v>Pass</x:v>
      </x:c>
      <x:c r="H6" s="14" t="str">
        <x:v>Ready for Refinement</x:v>
      </x:c>
      <x:c r="I6" s="14" t="str">
        <x:v>MVP</x:v>
      </x:c>
    </x:row>
    <x:row r="7">
      <x:c r="A7" s="14" t="str">
        <x:v>US-006</x:v>
      </x:c>
      <x:c r="B7" s="14" t="str">
        <x:v>E2</x:v>
      </x:c>
      <x:c r="C7" s="14" t="str">
        <x:v>As an employee, I want relative dates such as 'next Friday' resolved in my time zone so that due dates are accurate.</x:v>
      </x:c>
      <x:c r="D7" s="14" t="str">
        <x:v>Must</x:v>
      </x:c>
      <x:c r="E7" s="14" t="n">
        <x:v>8</x:v>
      </x:c>
      <x:c r="F7" s="14" t="str">
        <x:v>FR-011</x:v>
      </x:c>
      <x:c r="G7" s="14" t="str">
        <x:v>Pass</x:v>
      </x:c>
      <x:c r="H7" s="14" t="str">
        <x:v>Ready for Refinement</x:v>
      </x:c>
      <x:c r="I7" s="14" t="str">
        <x:v>MVP</x:v>
      </x:c>
    </x:row>
    <x:row r="8">
      <x:c r="A8" s="14" t="str">
        <x:v>US-007</x:v>
      </x:c>
      <x:c r="B8" s="14" t="str">
        <x:v>E2</x:v>
      </x:c>
      <x:c r="C8" s="14" t="str">
        <x:v>As a data scientist, I want corrections captured with model version and reason so that I can evaluate systematic error patterns.</x:v>
      </x:c>
      <x:c r="D8" s="14" t="str">
        <x:v>Should</x:v>
      </x:c>
      <x:c r="E8" s="14" t="n">
        <x:v>5</x:v>
      </x:c>
      <x:c r="F8" s="14" t="str">
        <x:v>FR-025</x:v>
      </x:c>
      <x:c r="G8" s="14" t="str">
        <x:v>Pass</x:v>
      </x:c>
      <x:c r="H8" s="14" t="str">
        <x:v>Ready for Refinement</x:v>
      </x:c>
      <x:c r="I8" s="14" t="str">
        <x:v>Release 1.1</x:v>
      </x:c>
    </x:row>
    <x:row r="9">
      <x:c r="A9" s="14" t="str">
        <x:v>US-008</x:v>
      </x:c>
      <x:c r="B9" s="14" t="str">
        <x:v>E3</x:v>
      </x:c>
      <x:c r="C9" s="14" t="str">
        <x:v>As an employee, I want to confirm or reject ownership so that the ledger reflects true accountability.</x:v>
      </x:c>
      <x:c r="D9" s="14" t="str">
        <x:v>Must</x:v>
      </x:c>
      <x:c r="E9" s="14" t="n">
        <x:v>5</x:v>
      </x:c>
      <x:c r="F9" s="14" t="str">
        <x:v>FR-010</x:v>
      </x:c>
      <x:c r="G9" s="14" t="str">
        <x:v>Pass</x:v>
      </x:c>
      <x:c r="H9" s="14" t="str">
        <x:v>Ready for Refinement</x:v>
      </x:c>
      <x:c r="I9" s="14" t="str">
        <x:v>MVP</x:v>
      </x:c>
    </x:row>
    <x:row r="10">
      <x:c r="A10" s="14" t="str">
        <x:v>US-009</x:v>
      </x:c>
      <x:c r="B10" s="14" t="str">
        <x:v>E3</x:v>
      </x:c>
      <x:c r="C10" s="14" t="str">
        <x:v>As a manager, I want to reassign a promise with reason and audit trail so that coverage changes remain transparent.</x:v>
      </x:c>
      <x:c r="D10" s="14" t="str">
        <x:v>Must</x:v>
      </x:c>
      <x:c r="E10" s="14" t="n">
        <x:v>5</x:v>
      </x:c>
      <x:c r="F10" s="14" t="str">
        <x:v>FR-014</x:v>
      </x:c>
      <x:c r="G10" s="14" t="str">
        <x:v>Pass</x:v>
      </x:c>
      <x:c r="H10" s="14" t="str">
        <x:v>Ready for Refinement</x:v>
      </x:c>
      <x:c r="I10" s="14" t="str">
        <x:v>MVP</x:v>
      </x:c>
    </x:row>
    <x:row r="11">
      <x:c r="A11" s="14" t="str">
        <x:v>US-010</x:v>
      </x:c>
      <x:c r="B11" s="14" t="str">
        <x:v>E3</x:v>
      </x:c>
      <x:c r="C11" s="14" t="str">
        <x:v>As a promise owner, I want to request a new due date so that legitimate delays are documented rather than hidden.</x:v>
      </x:c>
      <x:c r="D11" s="14" t="str">
        <x:v>Should</x:v>
      </x:c>
      <x:c r="E11" s="14" t="n">
        <x:v>5</x:v>
      </x:c>
      <x:c r="F11" s="14" t="str">
        <x:v>FR-015</x:v>
      </x:c>
      <x:c r="G11" s="14" t="str">
        <x:v>Pass</x:v>
      </x:c>
      <x:c r="H11" s="14" t="str">
        <x:v>Ready for Refinement</x:v>
      </x:c>
      <x:c r="I11" s="14" t="str">
        <x:v>Release 1.1</x:v>
      </x:c>
    </x:row>
    <x:row r="12">
      <x:c r="A12" s="14" t="str">
        <x:v>US-011</x:v>
      </x:c>
      <x:c r="B12" s="14" t="str">
        <x:v>E3</x:v>
      </x:c>
      <x:c r="C12" s="14" t="str">
        <x:v>As an employee, I want to mark a promise fulfilled and attach completion evidence so that closure is verifiable.</x:v>
      </x:c>
      <x:c r="D12" s="14" t="str">
        <x:v>Must</x:v>
      </x:c>
      <x:c r="E12" s="14" t="n">
        <x:v>5</x:v>
      </x:c>
      <x:c r="F12" s="14" t="str">
        <x:v>FR-013</x:v>
      </x:c>
      <x:c r="G12" s="14" t="str">
        <x:v>Pass</x:v>
      </x:c>
      <x:c r="H12" s="14" t="str">
        <x:v>Ready for Refinement</x:v>
      </x:c>
      <x:c r="I12" s="14" t="str">
        <x:v>MVP</x:v>
      </x:c>
    </x:row>
    <x:row r="13">
      <x:c r="A13" s="14" t="str">
        <x:v>US-012</x:v>
      </x:c>
      <x:c r="B13" s="14" t="str">
        <x:v>E3</x:v>
      </x:c>
      <x:c r="C13" s="14" t="str">
        <x:v>As an employee, I want to dispute an incorrectly attributed promise so that it is excluded from punitive metrics pending review.</x:v>
      </x:c>
      <x:c r="D13" s="14" t="str">
        <x:v>Must</x:v>
      </x:c>
      <x:c r="E13" s="14" t="n">
        <x:v>8</x:v>
      </x:c>
      <x:c r="F13" s="14" t="str">
        <x:v>FR-026</x:v>
      </x:c>
      <x:c r="G13" s="14" t="str">
        <x:v>Pass</x:v>
      </x:c>
      <x:c r="H13" s="14" t="str">
        <x:v>Ready for Refinement</x:v>
      </x:c>
      <x:c r="I13" s="14" t="str">
        <x:v>MVP</x:v>
      </x:c>
    </x:row>
    <x:row r="14">
      <x:c r="A14" s="14" t="str">
        <x:v>US-013</x:v>
      </x:c>
      <x:c r="B14" s="14" t="str">
        <x:v>E4</x:v>
      </x:c>
      <x:c r="C14" s="14" t="str">
        <x:v>As an employee, I want reminders timed to urgency and my preferences so that I receive useful rather than repetitive notifications.</x:v>
      </x:c>
      <x:c r="D14" s="14" t="str">
        <x:v>Must</x:v>
      </x:c>
      <x:c r="E14" s="14" t="n">
        <x:v>5</x:v>
      </x:c>
      <x:c r="F14" s="14" t="str">
        <x:v>FR-016</x:v>
      </x:c>
      <x:c r="G14" s="14" t="str">
        <x:v>Pass</x:v>
      </x:c>
      <x:c r="H14" s="14" t="str">
        <x:v>Ready for Refinement</x:v>
      </x:c>
      <x:c r="I14" s="14" t="str">
        <x:v>MVP</x:v>
      </x:c>
    </x:row>
    <x:row r="15">
      <x:c r="A15" s="14" t="str">
        <x:v>US-014</x:v>
      </x:c>
      <x:c r="B15" s="14" t="str">
        <x:v>E4</x:v>
      </x:c>
      <x:c r="C15" s="14" t="str">
        <x:v>As a department head, I want high-risk overdue commitments escalated automatically so that critical failures are addressed early.</x:v>
      </x:c>
      <x:c r="D15" s="14" t="str">
        <x:v>Must</x:v>
      </x:c>
      <x:c r="E15" s="14" t="n">
        <x:v>8</x:v>
      </x:c>
      <x:c r="F15" s="14" t="str">
        <x:v>FR-017</x:v>
      </x:c>
      <x:c r="G15" s="14" t="str">
        <x:v>Pass</x:v>
      </x:c>
      <x:c r="H15" s="14" t="str">
        <x:v>Ready for Refinement</x:v>
      </x:c>
      <x:c r="I15" s="14" t="str">
        <x:v>MVP</x:v>
      </x:c>
    </x:row>
    <x:row r="16">
      <x:c r="A16" s="14" t="str">
        <x:v>US-015</x:v>
      </x:c>
      <x:c r="B16" s="14" t="str">
        <x:v>E4</x:v>
      </x:c>
      <x:c r="C16" s="14" t="str">
        <x:v>As an employee, I want to update a promise directly from a Slack or Teams card so that I do not lose workflow context.</x:v>
      </x:c>
      <x:c r="D16" s="14" t="str">
        <x:v>Should</x:v>
      </x:c>
      <x:c r="E16" s="14" t="n">
        <x:v>8</x:v>
      </x:c>
      <x:c r="F16" s="14" t="str">
        <x:v>FR-018</x:v>
      </x:c>
      <x:c r="G16" s="14" t="str">
        <x:v>Pass</x:v>
      </x:c>
      <x:c r="H16" s="14" t="str">
        <x:v>Ready for Refinement</x:v>
      </x:c>
      <x:c r="I16" s="14" t="str">
        <x:v>Release 1.1</x:v>
      </x:c>
    </x:row>
    <x:row r="17">
      <x:c r="A17" s="14" t="str">
        <x:v>US-016</x:v>
      </x:c>
      <x:c r="B17" s="14" t="str">
        <x:v>E5</x:v>
      </x:c>
      <x:c r="C17" s="14" t="str">
        <x:v>As a manager, I want saved compound filters so that I can reuse my weekly risk review view.</x:v>
      </x:c>
      <x:c r="D17" s="14" t="str">
        <x:v>Must</x:v>
      </x:c>
      <x:c r="E17" s="14" t="n">
        <x:v>5</x:v>
      </x:c>
      <x:c r="F17" s="14" t="str">
        <x:v>FR-019</x:v>
      </x:c>
      <x:c r="G17" s="14" t="str">
        <x:v>Pass</x:v>
      </x:c>
      <x:c r="H17" s="14" t="str">
        <x:v>Ready for Refinement</x:v>
      </x:c>
      <x:c r="I17" s="14" t="str">
        <x:v>MVP</x:v>
      </x:c>
    </x:row>
    <x:row r="18">
      <x:c r="A18" s="14" t="str">
        <x:v>US-017</x:v>
      </x:c>
      <x:c r="B18" s="14" t="str">
        <x:v>E5</x:v>
      </x:c>
      <x:c r="C18" s="14" t="str">
        <x:v>As a promise owner, I want a unified timeline of messages and status events so that I can reconstruct decisions.</x:v>
      </x:c>
      <x:c r="D18" s="14" t="str">
        <x:v>Must</x:v>
      </x:c>
      <x:c r="E18" s="14" t="n">
        <x:v>5</x:v>
      </x:c>
      <x:c r="F18" s="14" t="str">
        <x:v>FR-020</x:v>
      </x:c>
      <x:c r="G18" s="14" t="str">
        <x:v>Pass</x:v>
      </x:c>
      <x:c r="H18" s="14" t="str">
        <x:v>Ready for Refinement</x:v>
      </x:c>
      <x:c r="I18" s="14" t="str">
        <x:v>MVP</x:v>
      </x:c>
    </x:row>
    <x:row r="19">
      <x:c r="A19" s="14" t="str">
        <x:v>US-018</x:v>
      </x:c>
      <x:c r="B19" s="14" t="str">
        <x:v>E6</x:v>
      </x:c>
      <x:c r="C19" s="14" t="str">
        <x:v>As a COO, I want enterprise completion, aging and SLA trends so that I can identify execution risk.</x:v>
      </x:c>
      <x:c r="D19" s="14" t="str">
        <x:v>Must</x:v>
      </x:c>
      <x:c r="E19" s="14" t="n">
        <x:v>8</x:v>
      </x:c>
      <x:c r="F19" s="14" t="str">
        <x:v>FR-021</x:v>
      </x:c>
      <x:c r="G19" s="14" t="str">
        <x:v>Pass</x:v>
      </x:c>
      <x:c r="H19" s="14" t="str">
        <x:v>Ready for Refinement</x:v>
      </x:c>
      <x:c r="I19" s="14" t="str">
        <x:v>MVP</x:v>
      </x:c>
    </x:row>
    <x:row r="20">
      <x:c r="A20" s="14" t="str">
        <x:v>US-019</x:v>
      </x:c>
      <x:c r="B20" s="14" t="str">
        <x:v>E6</x:v>
      </x:c>
      <x:c r="C20" s="14" t="str">
        <x:v>As a team lead, I want a workload and bottleneck dashboard so that I can balance ownership and remove blockers.</x:v>
      </x:c>
      <x:c r="D20" s="14" t="str">
        <x:v>Must</x:v>
      </x:c>
      <x:c r="E20" s="14" t="n">
        <x:v>8</x:v>
      </x:c>
      <x:c r="F20" s="14" t="str">
        <x:v>FR-022</x:v>
      </x:c>
      <x:c r="G20" s="14" t="str">
        <x:v>Pass</x:v>
      </x:c>
      <x:c r="H20" s="14" t="str">
        <x:v>Ready for Refinement</x:v>
      </x:c>
      <x:c r="I20" s="14" t="str">
        <x:v>MVP</x:v>
      </x:c>
    </x:row>
    <x:row r="21">
      <x:c r="A21" s="14" t="str">
        <x:v>US-020</x:v>
      </x:c>
      <x:c r="B21" s="14" t="str">
        <x:v>E6</x:v>
      </x:c>
      <x:c r="C21" s="14" t="str">
        <x:v>As an employee, I want a personal commitment queue so that I can prioritize what I owe and what is due next.</x:v>
      </x:c>
      <x:c r="D21" s="14" t="str">
        <x:v>Must</x:v>
      </x:c>
      <x:c r="E21" s="14" t="n">
        <x:v>5</x:v>
      </x:c>
      <x:c r="F21" s="14" t="str">
        <x:v>FR-023</x:v>
      </x:c>
      <x:c r="G21" s="14" t="str">
        <x:v>Pass</x:v>
      </x:c>
      <x:c r="H21" s="14" t="str">
        <x:v>Ready for Refinement</x:v>
      </x:c>
      <x:c r="I21" s="14" t="str">
        <x:v>MVP</x:v>
      </x:c>
    </x:row>
    <x:row r="22">
      <x:c r="A22" s="14" t="str">
        <x:v>US-021</x:v>
      </x:c>
      <x:c r="B22" s="14" t="str">
        <x:v>E6</x:v>
      </x:c>
      <x:c r="C22" s="14" t="str">
        <x:v>As a compliance manager, I want a monthly evidence report so that I can demonstrate follow-up on regulated commitments.</x:v>
      </x:c>
      <x:c r="D22" s="14" t="str">
        <x:v>Should</x:v>
      </x:c>
      <x:c r="E22" s="14" t="n">
        <x:v>5</x:v>
      </x:c>
      <x:c r="F22" s="14" t="str">
        <x:v>FR-024</x:v>
      </x:c>
      <x:c r="G22" s="14" t="str">
        <x:v>Pass</x:v>
      </x:c>
      <x:c r="H22" s="14" t="str">
        <x:v>Ready for Refinement</x:v>
      </x:c>
      <x:c r="I22" s="14" t="str">
        <x:v>Release 1.1</x:v>
      </x:c>
    </x:row>
    <x:row r="23">
      <x:c r="A23" s="14" t="str">
        <x:v>US-022</x:v>
      </x:c>
      <x:c r="B23" s="14" t="str">
        <x:v>E7</x:v>
      </x:c>
      <x:c r="C23" s="14" t="str">
        <x:v>As a privacy officer, I want regional retention and legal hold rules so that content is processed lawfully.</x:v>
      </x:c>
      <x:c r="D23" s="14" t="str">
        <x:v>Must</x:v>
      </x:c>
      <x:c r="E23" s="14" t="n">
        <x:v>13</x:v>
      </x:c>
      <x:c r="F23" s="14" t="str">
        <x:v>FR-029</x:v>
      </x:c>
      <x:c r="G23" s="14" t="str">
        <x:v>Pass</x:v>
      </x:c>
      <x:c r="H23" s="14" t="str">
        <x:v>Ready for Refinement</x:v>
      </x:c>
      <x:c r="I23" s="14" t="str">
        <x:v>MVP</x:v>
      </x:c>
    </x:row>
    <x:row r="24">
      <x:c r="A24" s="14" t="str">
        <x:v>US-023</x:v>
      </x:c>
      <x:c r="B24" s="14" t="str">
        <x:v>E7</x:v>
      </x:c>
      <x:c r="C24" s="14" t="str">
        <x:v>As a compliance investigator, I want audited access to event history so that investigations are complete and controlled.</x:v>
      </x:c>
      <x:c r="D24" s="14" t="str">
        <x:v>Must</x:v>
      </x:c>
      <x:c r="E24" s="14" t="n">
        <x:v>8</x:v>
      </x:c>
      <x:c r="F24" s="14" t="str">
        <x:v>FR-028</x:v>
      </x:c>
      <x:c r="G24" s="14" t="str">
        <x:v>Pass</x:v>
      </x:c>
      <x:c r="H24" s="14" t="str">
        <x:v>Ready for Refinement</x:v>
      </x:c>
      <x:c r="I24" s="14" t="str">
        <x:v>MVP</x:v>
      </x:c>
    </x:row>
    <x:row r="25">
      <x:c r="A25" s="14" t="str">
        <x:v>US-024</x:v>
      </x:c>
      <x:c r="B25" s="14" t="str">
        <x:v>E8</x:v>
      </x:c>
      <x:c r="C25" s="14" t="str">
        <x:v>As a platform admin, I want to manage SLAs, thresholds, calendars and templates without code changes so that business policy can evolve safely.</x:v>
      </x:c>
      <x:c r="D25" s="14" t="str">
        <x:v>Must</x:v>
      </x:c>
      <x:c r="E25" s="14" t="n">
        <x:v>8</x:v>
      </x:c>
      <x:c r="F25" s="14" t="str">
        <x:v>FR-030</x:v>
      </x:c>
      <x:c r="G25" s="14" t="str">
        <x:v>Pass</x:v>
      </x:c>
      <x:c r="H25" s="14" t="str">
        <x:v>Ready for Refinement</x:v>
      </x:c>
      <x:c r="I25" s="14" t="str">
        <x:v>MVP</x:v>
      </x:c>
    </x:row>
  </x:sheetData>
  <x:conditionalFormatting sqref="H2:H25">
    <x:cfRule type="expression" dxfId="1" priority="1">
      <x:formula>H2="Open"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68c38b70a8479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</x:cols>
  <x:sheetData>
    <x:row r="1" ht="32" customHeight="1">
      <x:c r="A1" s="6" t="str">
        <x:v>fr_id</x:v>
      </x:c>
      <x:c r="B1" s="6" t="str">
        <x:v>br_id</x:v>
      </x:c>
      <x:c r="C1" s="6" t="str">
        <x:v>epic_id</x:v>
      </x:c>
      <x:c r="D1" s="6" t="str">
        <x:v>user_stories</x:v>
      </x:c>
      <x:c r="E1" s="6" t="str">
        <x:v>data_objects</x:v>
      </x:c>
      <x:c r="F1" s="6" t="str">
        <x:v>test_cases</x:v>
      </x:c>
      <x:c r="G1" s="6" t="str">
        <x:v>dashboard_or_report</x:v>
      </x:c>
      <x:c r="H1" s="6" t="str">
        <x:v>status</x:v>
      </x:c>
    </x:row>
    <x:row r="2">
      <x:c r="A2" s="14" t="str">
        <x:v>FR-001</x:v>
      </x:c>
      <x:c r="B2" s="14" t="str">
        <x:v>BR-001</x:v>
      </x:c>
      <x:c r="C2" s="14" t="str">
        <x:v>E1</x:v>
      </x:c>
      <x:c r="D2" s="14" t="str">
        <x:v>US-001</x:v>
      </x:c>
      <x:c r="E2" s="14" t="str">
        <x:v>source_system, conversation, message, ingestion_checkpoint</x:v>
      </x:c>
      <x:c r="F2" s="14" t="str">
        <x:v>TC-001, TC-002</x:v>
      </x:c>
      <x:c r="G2" s="14" t="str">
        <x:v>Integration Health</x:v>
      </x:c>
      <x:c r="H2" s="14" t="str">
        <x:v>Traced</x:v>
      </x:c>
    </x:row>
    <x:row r="3">
      <x:c r="A3" s="14" t="str">
        <x:v>FR-002</x:v>
      </x:c>
      <x:c r="B3" s="14" t="str">
        <x:v>BR-001</x:v>
      </x:c>
      <x:c r="C3" s="14" t="str">
        <x:v>E1</x:v>
      </x:c>
      <x:c r="D3" s="14" t="str">
        <x:v>US-002</x:v>
      </x:c>
      <x:c r="E3" s="14" t="str">
        <x:v>source_system, conversation, message, ingestion_checkpoint</x:v>
      </x:c>
      <x:c r="F3" s="14" t="str">
        <x:v>TC-003</x:v>
      </x:c>
      <x:c r="G3" s="14" t="str">
        <x:v>Integration Health</x:v>
      </x:c>
      <x:c r="H3" s="14" t="str">
        <x:v>Traced</x:v>
      </x:c>
    </x:row>
    <x:row r="4">
      <x:c r="A4" s="14" t="str">
        <x:v>FR-003</x:v>
      </x:c>
      <x:c r="B4" s="14" t="str">
        <x:v>BR-001</x:v>
      </x:c>
      <x:c r="C4" s="14" t="str">
        <x:v>E1</x:v>
      </x:c>
      <x:c r="D4" s="14" t="str">
        <x:v>US-003</x:v>
      </x:c>
      <x:c r="E4" s="14" t="str">
        <x:v>source_system, conversation, message, ingestion_checkpoint</x:v>
      </x:c>
      <x:c r="F4" s="14" t="str">
        <x:v>TC-004</x:v>
      </x:c>
      <x:c r="G4" s="14" t="str">
        <x:v>Integration Health</x:v>
      </x:c>
      <x:c r="H4" s="14" t="str">
        <x:v>Traced</x:v>
      </x:c>
    </x:row>
    <x:row r="5">
      <x:c r="A5" s="14" t="str">
        <x:v>FR-004</x:v>
      </x:c>
      <x:c r="B5" s="14" t="str">
        <x:v>BR-001</x:v>
      </x:c>
      <x:c r="C5" s="14" t="str">
        <x:v>E1</x:v>
      </x:c>
      <x:c r="D5" s="14" t="str">
        <x:v>Covered by epic-level design</x:v>
      </x:c>
      <x:c r="E5" s="14" t="str">
        <x:v>source_system, conversation, message, ingestion_checkpoint</x:v>
      </x:c>
      <x:c r="F5" s="14" t="str">
        <x:v>TC-005</x:v>
      </x:c>
      <x:c r="G5" s="14" t="str">
        <x:v>Integration Health</x:v>
      </x:c>
      <x:c r="H5" s="14" t="str">
        <x:v>Traced</x:v>
      </x:c>
    </x:row>
    <x:row r="6">
      <x:c r="A6" s="14" t="str">
        <x:v>FR-005</x:v>
      </x:c>
      <x:c r="B6" s="14" t="str">
        <x:v>BR-002</x:v>
      </x:c>
      <x:c r="C6" s="14" t="str">
        <x:v>E2</x:v>
      </x:c>
      <x:c r="D6" s="14" t="str">
        <x:v>Covered by epic-level design</x:v>
      </x:c>
      <x:c r="E6" s="14" t="str">
        <x:v>promise_candidate, model_inference, person_alias, feedback_label</x:v>
      </x:c>
      <x:c r="F6" s="14" t="str">
        <x:v>See NFR / integration suite</x:v>
      </x:c>
      <x:c r="G6" s="14" t="str">
        <x:v>AI Quality</x:v>
      </x:c>
      <x:c r="H6" s="14" t="str">
        <x:v>Traced</x:v>
      </x:c>
    </x:row>
    <x:row r="7">
      <x:c r="A7" s="14" t="str">
        <x:v>FR-006</x:v>
      </x:c>
      <x:c r="B7" s="14" t="str">
        <x:v>BR-002</x:v>
      </x:c>
      <x:c r="C7" s="14" t="str">
        <x:v>E2</x:v>
      </x:c>
      <x:c r="D7" s="14" t="str">
        <x:v>US-004</x:v>
      </x:c>
      <x:c r="E7" s="14" t="str">
        <x:v>promise_candidate, model_inference, person_alias, feedback_label</x:v>
      </x:c>
      <x:c r="F7" s="14" t="str">
        <x:v>TC-006, TC-007</x:v>
      </x:c>
      <x:c r="G7" s="14" t="str">
        <x:v>AI Quality</x:v>
      </x:c>
      <x:c r="H7" s="14" t="str">
        <x:v>Traced</x:v>
      </x:c>
    </x:row>
    <x:row r="8">
      <x:c r="A8" s="14" t="str">
        <x:v>FR-007</x:v>
      </x:c>
      <x:c r="B8" s="14" t="str">
        <x:v>BR-002</x:v>
      </x:c>
      <x:c r="C8" s="14" t="str">
        <x:v>E2</x:v>
      </x:c>
      <x:c r="D8" s="14" t="str">
        <x:v>US-005</x:v>
      </x:c>
      <x:c r="E8" s="14" t="str">
        <x:v>promise_candidate, model_inference, person_alias, feedback_label</x:v>
      </x:c>
      <x:c r="F8" s="14" t="str">
        <x:v>TC-008, TC-009</x:v>
      </x:c>
      <x:c r="G8" s="14" t="str">
        <x:v>AI Quality</x:v>
      </x:c>
      <x:c r="H8" s="14" t="str">
        <x:v>Traced</x:v>
      </x:c>
    </x:row>
    <x:row r="9">
      <x:c r="A9" s="14" t="str">
        <x:v>FR-008</x:v>
      </x:c>
      <x:c r="B9" s="14" t="str">
        <x:v>BR-003</x:v>
      </x:c>
      <x:c r="C9" s="14" t="str">
        <x:v>E3</x:v>
      </x:c>
      <x:c r="D9" s="14" t="str">
        <x:v>Covered by epic-level design</x:v>
      </x:c>
      <x:c r="E9" s="14" t="str">
        <x:v>promise, promise_status_history, promise_owner_history</x:v>
      </x:c>
      <x:c r="F9" s="14" t="str">
        <x:v>See NFR / integration suite</x:v>
      </x:c>
      <x:c r="G9" s="14" t="str">
        <x:v>Promise Ledger</x:v>
      </x:c>
      <x:c r="H9" s="14" t="str">
        <x:v>Traced</x:v>
      </x:c>
    </x:row>
    <x:row r="10">
      <x:c r="A10" s="14" t="str">
        <x:v>FR-009</x:v>
      </x:c>
      <x:c r="B10" s="14" t="str">
        <x:v>BR-004</x:v>
      </x:c>
      <x:c r="C10" s="14" t="str">
        <x:v>E2</x:v>
      </x:c>
      <x:c r="D10" s="14" t="str">
        <x:v>Covered by epic-level design</x:v>
      </x:c>
      <x:c r="E10" s="14" t="str">
        <x:v>promise_candidate, model_inference, person_alias, feedback_label</x:v>
      </x:c>
      <x:c r="F10" s="14" t="str">
        <x:v>TC-010</x:v>
      </x:c>
      <x:c r="G10" s="14" t="str">
        <x:v>AI Quality</x:v>
      </x:c>
      <x:c r="H10" s="14" t="str">
        <x:v>Traced</x:v>
      </x:c>
    </x:row>
    <x:row r="11">
      <x:c r="A11" s="14" t="str">
        <x:v>FR-010</x:v>
      </x:c>
      <x:c r="B11" s="14" t="str">
        <x:v>BR-004</x:v>
      </x:c>
      <x:c r="C11" s="14" t="str">
        <x:v>E3</x:v>
      </x:c>
      <x:c r="D11" s="14" t="str">
        <x:v>US-008</x:v>
      </x:c>
      <x:c r="E11" s="14" t="str">
        <x:v>promise, promise_status_history, promise_owner_history</x:v>
      </x:c>
      <x:c r="F11" s="14" t="str">
        <x:v>TC-011</x:v>
      </x:c>
      <x:c r="G11" s="14" t="str">
        <x:v>Promise Ledger</x:v>
      </x:c>
      <x:c r="H11" s="14" t="str">
        <x:v>Traced</x:v>
      </x:c>
    </x:row>
    <x:row r="12">
      <x:c r="A12" s="14" t="str">
        <x:v>FR-011</x:v>
      </x:c>
      <x:c r="B12" s="14" t="str">
        <x:v>BR-005</x:v>
      </x:c>
      <x:c r="C12" s="14" t="str">
        <x:v>E2</x:v>
      </x:c>
      <x:c r="D12" s="14" t="str">
        <x:v>US-006</x:v>
      </x:c>
      <x:c r="E12" s="14" t="str">
        <x:v>promise_candidate, model_inference, person_alias, feedback_label</x:v>
      </x:c>
      <x:c r="F12" s="14" t="str">
        <x:v>TC-012</x:v>
      </x:c>
      <x:c r="G12" s="14" t="str">
        <x:v>AI Quality</x:v>
      </x:c>
      <x:c r="H12" s="14" t="str">
        <x:v>Traced</x:v>
      </x:c>
    </x:row>
    <x:row r="13">
      <x:c r="A13" s="14" t="str">
        <x:v>FR-012</x:v>
      </x:c>
      <x:c r="B13" s="14" t="str">
        <x:v>BR-005</x:v>
      </x:c>
      <x:c r="C13" s="14" t="str">
        <x:v>E3</x:v>
      </x:c>
      <x:c r="D13" s="14" t="str">
        <x:v>Covered by epic-level design</x:v>
      </x:c>
      <x:c r="E13" s="14" t="str">
        <x:v>promise, promise_status_history, promise_owner_history</x:v>
      </x:c>
      <x:c r="F13" s="14" t="str">
        <x:v>TC-013</x:v>
      </x:c>
      <x:c r="G13" s="14" t="str">
        <x:v>Promise Ledger</x:v>
      </x:c>
      <x:c r="H13" s="14" t="str">
        <x:v>Traced</x:v>
      </x:c>
    </x:row>
    <x:row r="14">
      <x:c r="A14" s="14" t="str">
        <x:v>FR-013</x:v>
      </x:c>
      <x:c r="B14" s="14" t="str">
        <x:v>BR-006</x:v>
      </x:c>
      <x:c r="C14" s="14" t="str">
        <x:v>E3</x:v>
      </x:c>
      <x:c r="D14" s="14" t="str">
        <x:v>US-011</x:v>
      </x:c>
      <x:c r="E14" s="14" t="str">
        <x:v>promise, promise_status_history, promise_owner_history</x:v>
      </x:c>
      <x:c r="F14" s="14" t="str">
        <x:v>TC-014, TC-015</x:v>
      </x:c>
      <x:c r="G14" s="14" t="str">
        <x:v>Promise Ledger</x:v>
      </x:c>
      <x:c r="H14" s="14" t="str">
        <x:v>Traced</x:v>
      </x:c>
    </x:row>
    <x:row r="15">
      <x:c r="A15" s="14" t="str">
        <x:v>FR-014</x:v>
      </x:c>
      <x:c r="B15" s="14" t="str">
        <x:v>BR-006</x:v>
      </x:c>
      <x:c r="C15" s="14" t="str">
        <x:v>E3</x:v>
      </x:c>
      <x:c r="D15" s="14" t="str">
        <x:v>US-009</x:v>
      </x:c>
      <x:c r="E15" s="14" t="str">
        <x:v>promise, promise_status_history, promise_owner_history</x:v>
      </x:c>
      <x:c r="F15" s="14" t="str">
        <x:v>TC-016</x:v>
      </x:c>
      <x:c r="G15" s="14" t="str">
        <x:v>Promise Ledger</x:v>
      </x:c>
      <x:c r="H15" s="14" t="str">
        <x:v>Traced</x:v>
      </x:c>
    </x:row>
    <x:row r="16">
      <x:c r="A16" s="14" t="str">
        <x:v>FR-015</x:v>
      </x:c>
      <x:c r="B16" s="14" t="str">
        <x:v>BR-006</x:v>
      </x:c>
      <x:c r="C16" s="14" t="str">
        <x:v>E3</x:v>
      </x:c>
      <x:c r="D16" s="14" t="str">
        <x:v>US-010</x:v>
      </x:c>
      <x:c r="E16" s="14" t="str">
        <x:v>promise, promise_status_history, promise_owner_history</x:v>
      </x:c>
      <x:c r="F16" s="14" t="str">
        <x:v>TC-017</x:v>
      </x:c>
      <x:c r="G16" s="14" t="str">
        <x:v>Promise Ledger</x:v>
      </x:c>
      <x:c r="H16" s="14" t="str">
        <x:v>Traced</x:v>
      </x:c>
    </x:row>
    <x:row r="17">
      <x:c r="A17" s="14" t="str">
        <x:v>FR-016</x:v>
      </x:c>
      <x:c r="B17" s="14" t="str">
        <x:v>BR-007</x:v>
      </x:c>
      <x:c r="C17" s="14" t="str">
        <x:v>E4</x:v>
      </x:c>
      <x:c r="D17" s="14" t="str">
        <x:v>US-013</x:v>
      </x:c>
      <x:c r="E17" s="14" t="str">
        <x:v>notification, escalation_event, notification_preference</x:v>
      </x:c>
      <x:c r="F17" s="14" t="str">
        <x:v>TC-018, TC-019</x:v>
      </x:c>
      <x:c r="G17" s="14" t="str">
        <x:v>Risk &amp; Escalation</x:v>
      </x:c>
      <x:c r="H17" s="14" t="str">
        <x:v>Traced</x:v>
      </x:c>
    </x:row>
    <x:row r="18">
      <x:c r="A18" s="14" t="str">
        <x:v>FR-017</x:v>
      </x:c>
      <x:c r="B18" s="14" t="str">
        <x:v>BR-008</x:v>
      </x:c>
      <x:c r="C18" s="14" t="str">
        <x:v>E4</x:v>
      </x:c>
      <x:c r="D18" s="14" t="str">
        <x:v>US-014</x:v>
      </x:c>
      <x:c r="E18" s="14" t="str">
        <x:v>notification, escalation_event, notification_preference</x:v>
      </x:c>
      <x:c r="F18" s="14" t="str">
        <x:v>TC-020</x:v>
      </x:c>
      <x:c r="G18" s="14" t="str">
        <x:v>Risk &amp; Escalation</x:v>
      </x:c>
      <x:c r="H18" s="14" t="str">
        <x:v>Traced</x:v>
      </x:c>
    </x:row>
    <x:row r="19">
      <x:c r="A19" s="14" t="str">
        <x:v>FR-018</x:v>
      </x:c>
      <x:c r="B19" s="14" t="str">
        <x:v>BR-007</x:v>
      </x:c>
      <x:c r="C19" s="14" t="str">
        <x:v>E4</x:v>
      </x:c>
      <x:c r="D19" s="14" t="str">
        <x:v>US-015</x:v>
      </x:c>
      <x:c r="E19" s="14" t="str">
        <x:v>notification, escalation_event, notification_preference</x:v>
      </x:c>
      <x:c r="F19" s="14" t="str">
        <x:v>TC-021</x:v>
      </x:c>
      <x:c r="G19" s="14" t="str">
        <x:v>Risk &amp; Escalation</x:v>
      </x:c>
      <x:c r="H19" s="14" t="str">
        <x:v>Traced</x:v>
      </x:c>
    </x:row>
    <x:row r="20">
      <x:c r="A20" s="14" t="str">
        <x:v>FR-019</x:v>
      </x:c>
      <x:c r="B20" s="14" t="str">
        <x:v>BR-009</x:v>
      </x:c>
      <x:c r="C20" s="14" t="str">
        <x:v>E5</x:v>
      </x:c>
      <x:c r="D20" s="14" t="str">
        <x:v>US-016</x:v>
      </x:c>
      <x:c r="E20" s="14" t="str">
        <x:v>search_index, conversation_event</x:v>
      </x:c>
      <x:c r="F20" s="14" t="str">
        <x:v>TC-022</x:v>
      </x:c>
      <x:c r="G20" s="14" t="str">
        <x:v>Search / Timeline</x:v>
      </x:c>
      <x:c r="H20" s="14" t="str">
        <x:v>Traced</x:v>
      </x:c>
    </x:row>
    <x:row r="21">
      <x:c r="A21" s="14" t="str">
        <x:v>FR-020</x:v>
      </x:c>
      <x:c r="B21" s="14" t="str">
        <x:v>BR-003</x:v>
      </x:c>
      <x:c r="C21" s="14" t="str">
        <x:v>E5</x:v>
      </x:c>
      <x:c r="D21" s="14" t="str">
        <x:v>US-017</x:v>
      </x:c>
      <x:c r="E21" s="14" t="str">
        <x:v>search_index, conversation_event</x:v>
      </x:c>
      <x:c r="F21" s="14" t="str">
        <x:v>TC-023</x:v>
      </x:c>
      <x:c r="G21" s="14" t="str">
        <x:v>Search / Timeline</x:v>
      </x:c>
      <x:c r="H21" s="14" t="str">
        <x:v>Traced</x:v>
      </x:c>
    </x:row>
    <x:row r="22">
      <x:c r="A22" s="14" t="str">
        <x:v>FR-021</x:v>
      </x:c>
      <x:c r="B22" s="14" t="str">
        <x:v>BR-010</x:v>
      </x:c>
      <x:c r="C22" s="14" t="str">
        <x:v>E6</x:v>
      </x:c>
      <x:c r="D22" s="14" t="str">
        <x:v>US-018</x:v>
      </x:c>
      <x:c r="E22" s="14" t="str">
        <x:v>fact_promise, fact_promise_event, dimensions and aggregates</x:v>
      </x:c>
      <x:c r="F22" s="14" t="str">
        <x:v>TC-024</x:v>
      </x:c>
      <x:c r="G22" s="14" t="str">
        <x:v>Executive and Department Dashboards</x:v>
      </x:c>
      <x:c r="H22" s="14" t="str">
        <x:v>Traced</x:v>
      </x:c>
    </x:row>
    <x:row r="23">
      <x:c r="A23" s="14" t="str">
        <x:v>FR-022</x:v>
      </x:c>
      <x:c r="B23" s="14" t="str">
        <x:v>BR-010</x:v>
      </x:c>
      <x:c r="C23" s="14" t="str">
        <x:v>E6</x:v>
      </x:c>
      <x:c r="D23" s="14" t="str">
        <x:v>US-019</x:v>
      </x:c>
      <x:c r="E23" s="14" t="str">
        <x:v>fact_promise, fact_promise_event, dimensions and aggregates</x:v>
      </x:c>
      <x:c r="F23" s="14" t="str">
        <x:v>See NFR / integration suite</x:v>
      </x:c>
      <x:c r="G23" s="14" t="str">
        <x:v>Executive and Department Dashboards</x:v>
      </x:c>
      <x:c r="H23" s="14" t="str">
        <x:v>Traced</x:v>
      </x:c>
    </x:row>
    <x:row r="24">
      <x:c r="A24" s="14" t="str">
        <x:v>FR-023</x:v>
      </x:c>
      <x:c r="B24" s="14" t="str">
        <x:v>BR-010</x:v>
      </x:c>
      <x:c r="C24" s="14" t="str">
        <x:v>E6</x:v>
      </x:c>
      <x:c r="D24" s="14" t="str">
        <x:v>US-020</x:v>
      </x:c>
      <x:c r="E24" s="14" t="str">
        <x:v>fact_promise, fact_promise_event, dimensions and aggregates</x:v>
      </x:c>
      <x:c r="F24" s="14" t="str">
        <x:v>See NFR / integration suite</x:v>
      </x:c>
      <x:c r="G24" s="14" t="str">
        <x:v>Executive and Department Dashboards</x:v>
      </x:c>
      <x:c r="H24" s="14" t="str">
        <x:v>Traced</x:v>
      </x:c>
    </x:row>
    <x:row r="25">
      <x:c r="A25" s="14" t="str">
        <x:v>FR-024</x:v>
      </x:c>
      <x:c r="B25" s="14" t="str">
        <x:v>BR-011</x:v>
      </x:c>
      <x:c r="C25" s="14" t="str">
        <x:v>E6</x:v>
      </x:c>
      <x:c r="D25" s="14" t="str">
        <x:v>US-021</x:v>
      </x:c>
      <x:c r="E25" s="14" t="str">
        <x:v>fact_promise, fact_promise_event, dimensions and aggregates</x:v>
      </x:c>
      <x:c r="F25" s="14" t="str">
        <x:v>TC-025</x:v>
      </x:c>
      <x:c r="G25" s="14" t="str">
        <x:v>Executive and Department Dashboards</x:v>
      </x:c>
      <x:c r="H25" s="14" t="str">
        <x:v>Traced</x:v>
      </x:c>
    </x:row>
    <x:row r="26">
      <x:c r="A26" s="14" t="str">
        <x:v>FR-025</x:v>
      </x:c>
      <x:c r="B26" s="14" t="str">
        <x:v>BR-012</x:v>
      </x:c>
      <x:c r="C26" s="14" t="str">
        <x:v>E2</x:v>
      </x:c>
      <x:c r="D26" s="14" t="str">
        <x:v>US-007</x:v>
      </x:c>
      <x:c r="E26" s="14" t="str">
        <x:v>promise_candidate, model_inference, person_alias, feedback_label</x:v>
      </x:c>
      <x:c r="F26" s="14" t="str">
        <x:v>See NFR / integration suite</x:v>
      </x:c>
      <x:c r="G26" s="14" t="str">
        <x:v>AI Quality</x:v>
      </x:c>
      <x:c r="H26" s="14" t="str">
        <x:v>Traced</x:v>
      </x:c>
    </x:row>
    <x:row r="27">
      <x:c r="A27" s="14" t="str">
        <x:v>FR-026</x:v>
      </x:c>
      <x:c r="B27" s="14" t="str">
        <x:v>BR-012</x:v>
      </x:c>
      <x:c r="C27" s="14" t="str">
        <x:v>E3</x:v>
      </x:c>
      <x:c r="D27" s="14" t="str">
        <x:v>US-012</x:v>
      </x:c>
      <x:c r="E27" s="14" t="str">
        <x:v>promise, promise_status_history, promise_owner_history</x:v>
      </x:c>
      <x:c r="F27" s="14" t="str">
        <x:v>TC-026</x:v>
      </x:c>
      <x:c r="G27" s="14" t="str">
        <x:v>Promise Ledger</x:v>
      </x:c>
      <x:c r="H27" s="14" t="str">
        <x:v>Traced</x:v>
      </x:c>
    </x:row>
    <x:row r="28">
      <x:c r="A28" s="14" t="str">
        <x:v>FR-027</x:v>
      </x:c>
      <x:c r="B28" s="14" t="str">
        <x:v>BR-013</x:v>
      </x:c>
      <x:c r="C28" s="14" t="str">
        <x:v>E7</x:v>
      </x:c>
      <x:c r="D28" s="14" t="str">
        <x:v>Covered by epic-level design</x:v>
      </x:c>
      <x:c r="E28" s="14" t="str">
        <x:v>audit_event, access_policy, retention_policy, legal_hold</x:v>
      </x:c>
      <x:c r="F28" s="14" t="str">
        <x:v>TC-027</x:v>
      </x:c>
      <x:c r="G28" s="14" t="str">
        <x:v>Compliance Dashboard</x:v>
      </x:c>
      <x:c r="H28" s="14" t="str">
        <x:v>Traced</x:v>
      </x:c>
    </x:row>
    <x:row r="29">
      <x:c r="A29" s="14" t="str">
        <x:v>FR-028</x:v>
      </x:c>
      <x:c r="B29" s="14" t="str">
        <x:v>BR-014</x:v>
      </x:c>
      <x:c r="C29" s="14" t="str">
        <x:v>E7</x:v>
      </x:c>
      <x:c r="D29" s="14" t="str">
        <x:v>US-023</x:v>
      </x:c>
      <x:c r="E29" s="14" t="str">
        <x:v>audit_event, access_policy, retention_policy, legal_hold</x:v>
      </x:c>
      <x:c r="F29" s="14" t="str">
        <x:v>TC-028</x:v>
      </x:c>
      <x:c r="G29" s="14" t="str">
        <x:v>Compliance Dashboard</x:v>
      </x:c>
      <x:c r="H29" s="14" t="str">
        <x:v>Traced</x:v>
      </x:c>
    </x:row>
    <x:row r="30">
      <x:c r="A30" s="14" t="str">
        <x:v>FR-029</x:v>
      </x:c>
      <x:c r="B30" s="14" t="str">
        <x:v>BR-015</x:v>
      </x:c>
      <x:c r="C30" s="14" t="str">
        <x:v>E7</x:v>
      </x:c>
      <x:c r="D30" s="14" t="str">
        <x:v>US-022</x:v>
      </x:c>
      <x:c r="E30" s="14" t="str">
        <x:v>audit_event, access_policy, retention_policy, legal_hold</x:v>
      </x:c>
      <x:c r="F30" s="14" t="str">
        <x:v>TC-029</x:v>
      </x:c>
      <x:c r="G30" s="14" t="str">
        <x:v>Compliance Dashboard</x:v>
      </x:c>
      <x:c r="H30" s="14" t="str">
        <x:v>Traced</x:v>
      </x:c>
    </x:row>
    <x:row r="31">
      <x:c r="A31" s="14" t="str">
        <x:v>FR-030</x:v>
      </x:c>
      <x:c r="B31" s="14" t="str">
        <x:v>BR-018</x:v>
      </x:c>
      <x:c r="C31" s="14" t="str">
        <x:v>E8</x:v>
      </x:c>
      <x:c r="D31" s="14" t="str">
        <x:v>US-024</x:v>
      </x:c>
      <x:c r="E31" s="14" t="str">
        <x:v>configuration_version, reference_data, feature_flag</x:v>
      </x:c>
      <x:c r="F31" s="14" t="str">
        <x:v>TC-030</x:v>
      </x:c>
      <x:c r="G31" s="14" t="str">
        <x:v>Admin Portal</x:v>
      </x:c>
      <x:c r="H31" s="14" t="str">
        <x:v>Traced</x:v>
      </x:c>
    </x:row>
  </x:sheetData>
  <x:conditionalFormatting sqref="H2:H31">
    <x:cfRule type="expression" dxfId="2" priority="1">
      <x:formula>H2="Open"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9ad512430341f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36" hidden="0" customWidth="1"/>
    <x:col min="4" max="4" width="18" hidden="0" customWidth="1"/>
    <x:col min="5" max="5" width="36" hidden="0" customWidth="1"/>
    <x:col min="6" max="6" width="18" hidden="0" customWidth="1"/>
    <x:col min="7" max="7" width="15" hidden="0" customWidth="1"/>
    <x:col min="8" max="8" width="18" hidden="0" customWidth="1"/>
  </x:cols>
  <x:sheetData>
    <x:row r="1" ht="32" customHeight="1">
      <x:c r="A1" s="6" t="str">
        <x:v>test_case_id</x:v>
      </x:c>
      <x:c r="B1" s="6" t="str">
        <x:v>requirement_id</x:v>
      </x:c>
      <x:c r="C1" s="6" t="str">
        <x:v>scenario</x:v>
      </x:c>
      <x:c r="D1" s="6" t="str">
        <x:v>precondition</x:v>
      </x:c>
      <x:c r="E1" s="6" t="str">
        <x:v>expected_result</x:v>
      </x:c>
      <x:c r="F1" s="6" t="str">
        <x:v>test_type</x:v>
      </x:c>
      <x:c r="G1" s="6" t="str">
        <x:v>status</x:v>
      </x:c>
      <x:c r="H1" s="6" t="str">
        <x:v>severity</x:v>
      </x:c>
    </x:row>
    <x:row r="2">
      <x:c r="A2" s="14" t="str">
        <x:v>TC-001</x:v>
      </x:c>
      <x:c r="B2" s="14" t="str">
        <x:v>FR-001</x:v>
      </x:c>
      <x:c r="C2" s="14" t="str">
        <x:v>Register Slack connector with valid OAuth scopes</x:v>
      </x:c>
      <x:c r="D2" s="14" t="str">
        <x:v>Valid tenant admin and approved app</x:v>
      </x:c>
      <x:c r="E2" s="14" t="str">
        <x:v>Connector active; test event succeeds; scopes logged</x:v>
      </x:c>
      <x:c r="F2" s="14" t="str">
        <x:v>System / Integration</x:v>
      </x:c>
      <x:c r="G2" s="14" t="str">
        <x:v>Not Executed</x:v>
      </x:c>
      <x:c r="H2" s="14" t="str">
        <x:v>Medium</x:v>
      </x:c>
    </x:row>
    <x:row r="3">
      <x:c r="A3" s="14" t="str">
        <x:v>TC-002</x:v>
      </x:c>
      <x:c r="B3" s="14" t="str">
        <x:v>FR-001</x:v>
      </x:c>
      <x:c r="C3" s="14" t="str">
        <x:v>Reject connector registration with excessive scope</x:v>
      </x:c>
      <x:c r="D3" s="14" t="str">
        <x:v>Requested scope exceeds policy</x:v>
      </x:c>
      <x:c r="E3" s="14" t="str">
        <x:v>Activation blocked; policy error and audit event created</x:v>
      </x:c>
      <x:c r="F3" s="14" t="str">
        <x:v>Security</x:v>
      </x:c>
      <x:c r="G3" s="14" t="str">
        <x:v>Not Executed</x:v>
      </x:c>
      <x:c r="H3" s="14" t="str">
        <x:v>High</x:v>
      </x:c>
    </x:row>
    <x:row r="4">
      <x:c r="A4" s="14" t="str">
        <x:v>TC-003</x:v>
      </x:c>
      <x:c r="B4" s="14" t="str">
        <x:v>FR-002</x:v>
      </x:c>
      <x:c r="C4" s="14" t="str">
        <x:v>Process duplicate webhook event</x:v>
      </x:c>
      <x:c r="D4" s="14" t="str">
        <x:v>Same source event ID submitted twice</x:v>
      </x:c>
      <x:c r="E4" s="14" t="str">
        <x:v>One canonical message and no duplicate promise created</x:v>
      </x:c>
      <x:c r="F4" s="14" t="str">
        <x:v>Integration</x:v>
      </x:c>
      <x:c r="G4" s="14" t="str">
        <x:v>Not Executed</x:v>
      </x:c>
      <x:c r="H4" s="14" t="str">
        <x:v>Medium</x:v>
      </x:c>
    </x:row>
    <x:row r="5">
      <x:c r="A5" s="14" t="str">
        <x:v>TC-004</x:v>
      </x:c>
      <x:c r="B5" s="14" t="str">
        <x:v>FR-003</x:v>
      </x:c>
      <x:c r="C5" s="14" t="str">
        <x:v>Replay failed checkpoint range</x:v>
      </x:c>
      <x:c r="D5" s="14" t="str">
        <x:v>Known failed ingestion checkpoint</x:v>
      </x:c>
      <x:c r="E5" s="14" t="str">
        <x:v>Missing messages recovered; downstream processing idempotent</x:v>
      </x:c>
      <x:c r="F5" s="14" t="str">
        <x:v>Recovery</x:v>
      </x:c>
      <x:c r="G5" s="14" t="str">
        <x:v>Not Executed</x:v>
      </x:c>
      <x:c r="H5" s="14" t="str">
        <x:v>Medium</x:v>
      </x:c>
    </x:row>
    <x:row r="6">
      <x:c r="A6" s="14" t="str">
        <x:v>TC-005</x:v>
      </x:c>
      <x:c r="B6" s="14" t="str">
        <x:v>FR-004</x:v>
      </x:c>
      <x:c r="C6" s="14" t="str">
        <x:v>Normalize threaded Slack message</x:v>
      </x:c>
      <x:c r="D6" s="14" t="str">
        <x:v>Valid source payload</x:v>
      </x:c>
      <x:c r="E6" s="14" t="str">
        <x:v>Canonical conversation/message fields populated correctly</x:v>
      </x:c>
      <x:c r="F6" s="14" t="str">
        <x:v>Data</x:v>
      </x:c>
      <x:c r="G6" s="14" t="str">
        <x:v>Not Executed</x:v>
      </x:c>
      <x:c r="H6" s="14" t="str">
        <x:v>Medium</x:v>
      </x:c>
    </x:row>
    <x:row r="7">
      <x:c r="A7" s="14" t="str">
        <x:v>TC-006</x:v>
      </x:c>
      <x:c r="B7" s="14" t="str">
        <x:v>FR-006</x:v>
      </x:c>
      <x:c r="C7" s="14" t="str">
        <x:v>Extract explicit promise</x:v>
      </x:c>
      <x:c r="D7" s="14" t="str">
        <x:v>Message: I will send the report by Friday</x:v>
      </x:c>
      <x:c r="E7" s="14" t="str">
        <x:v>Promise text, owner, deadline and confidence returned</x:v>
      </x:c>
      <x:c r="F7" s="14" t="str">
        <x:v>AI</x:v>
      </x:c>
      <x:c r="G7" s="14" t="str">
        <x:v>Not Executed</x:v>
      </x:c>
      <x:c r="H7" s="14" t="str">
        <x:v>Medium</x:v>
      </x:c>
    </x:row>
    <x:row r="8">
      <x:c r="A8" s="14" t="str">
        <x:v>TC-007</x:v>
      </x:c>
      <x:c r="B8" s="14" t="str">
        <x:v>FR-006</x:v>
      </x:c>
      <x:c r="C8" s="14" t="str">
        <x:v>Do not create promise from informational statement</x:v>
      </x:c>
      <x:c r="D8" s="14" t="str">
        <x:v>Message: The report was sent Friday</x:v>
      </x:c>
      <x:c r="E8" s="14" t="str">
        <x:v>No commitment candidate created</x:v>
      </x:c>
      <x:c r="F8" s="14" t="str">
        <x:v>AI</x:v>
      </x:c>
      <x:c r="G8" s="14" t="str">
        <x:v>Not Executed</x:v>
      </x:c>
      <x:c r="H8" s="14" t="str">
        <x:v>Medium</x:v>
      </x:c>
    </x:row>
    <x:row r="9">
      <x:c r="A9" s="14" t="str">
        <x:v>TC-008</x:v>
      </x:c>
      <x:c r="B9" s="14" t="str">
        <x:v>FR-007</x:v>
      </x:c>
      <x:c r="C9" s="14" t="str">
        <x:v>Auto-create high confidence candidate</x:v>
      </x:c>
      <x:c r="D9" s="14" t="str">
        <x:v>Confidence above auto-create threshold</x:v>
      </x:c>
      <x:c r="E9" s="14" t="str">
        <x:v>Promise created and marked human-unconfirmed per policy</x:v>
      </x:c>
      <x:c r="F9" s="14" t="str">
        <x:v>Functional</x:v>
      </x:c>
      <x:c r="G9" s="14" t="str">
        <x:v>Not Executed</x:v>
      </x:c>
      <x:c r="H9" s="14" t="str">
        <x:v>Medium</x:v>
      </x:c>
    </x:row>
    <x:row r="10">
      <x:c r="A10" s="14" t="str">
        <x:v>TC-009</x:v>
      </x:c>
      <x:c r="B10" s="14" t="str">
        <x:v>FR-007</x:v>
      </x:c>
      <x:c r="C10" s="14" t="str">
        <x:v>Route medium confidence candidate</x:v>
      </x:c>
      <x:c r="D10" s="14" t="str">
        <x:v>Confidence in review band</x:v>
      </x:c>
      <x:c r="E10" s="14" t="str">
        <x:v>Candidate appears in review queue only</x:v>
      </x:c>
      <x:c r="F10" s="14" t="str">
        <x:v>Functional</x:v>
      </x:c>
      <x:c r="G10" s="14" t="str">
        <x:v>Not Executed</x:v>
      </x:c>
      <x:c r="H10" s="14" t="str">
        <x:v>Medium</x:v>
      </x:c>
    </x:row>
    <x:row r="11">
      <x:c r="A11" s="14" t="str">
        <x:v>TC-010</x:v>
      </x:c>
      <x:c r="B11" s="14" t="str">
        <x:v>FR-009</x:v>
      </x:c>
      <x:c r="C11" s="14" t="str">
        <x:v>Resolve named owner</x:v>
      </x:c>
      <x:c r="D11" s="14" t="str">
        <x:v>Message names active directory user</x:v>
      </x:c>
      <x:c r="E11" s="14" t="str">
        <x:v>Correct employee ID assigned with evidence</x:v>
      </x:c>
      <x:c r="F11" s="14" t="str">
        <x:v>AI / Data</x:v>
      </x:c>
      <x:c r="G11" s="14" t="str">
        <x:v>Not Executed</x:v>
      </x:c>
      <x:c r="H11" s="14" t="str">
        <x:v>Medium</x:v>
      </x:c>
    </x:row>
    <x:row r="12">
      <x:c r="A12" s="14" t="str">
        <x:v>TC-011</x:v>
      </x:c>
      <x:c r="B12" s="14" t="str">
        <x:v>FR-010</x:v>
      </x:c>
      <x:c r="C12" s="14" t="str">
        <x:v>Owner rejects attribution</x:v>
      </x:c>
      <x:c r="D12" s="14" t="str">
        <x:v>Detected owner selects Reject and reason</x:v>
      </x:c>
      <x:c r="E12" s="14" t="str">
        <x:v>Promise enters disputed/review state; audit captured</x:v>
      </x:c>
      <x:c r="F12" s="14" t="str">
        <x:v>UAT</x:v>
      </x:c>
      <x:c r="G12" s="14" t="str">
        <x:v>Not Executed</x:v>
      </x:c>
      <x:c r="H12" s="14" t="str">
        <x:v>Medium</x:v>
      </x:c>
    </x:row>
    <x:row r="13">
      <x:c r="A13" s="14" t="str">
        <x:v>TC-012</x:v>
      </x:c>
      <x:c r="B13" s="14" t="str">
        <x:v>FR-011</x:v>
      </x:c>
      <x:c r="C13" s="14" t="str">
        <x:v>Resolve next Friday across time zone</x:v>
      </x:c>
      <x:c r="D13" s="14" t="str">
        <x:v>User locale and business calendar configured</x:v>
      </x:c>
      <x:c r="E13" s="14" t="str">
        <x:v>Due timestamp resolves to correct local business date</x:v>
      </x:c>
      <x:c r="F13" s="14" t="str">
        <x:v>Functional</x:v>
      </x:c>
      <x:c r="G13" s="14" t="str">
        <x:v>Not Executed</x:v>
      </x:c>
      <x:c r="H13" s="14" t="str">
        <x:v>Medium</x:v>
      </x:c>
    </x:row>
    <x:row r="14">
      <x:c r="A14" s="14" t="str">
        <x:v>TC-013</x:v>
      </x:c>
      <x:c r="B14" s="14" t="str">
        <x:v>FR-012</x:v>
      </x:c>
      <x:c r="C14" s="14" t="str">
        <x:v>Handle ambiguous phrase soon</x:v>
      </x:c>
      <x:c r="D14" s="14" t="str">
        <x:v>No deterministic date available</x:v>
      </x:c>
      <x:c r="E14" s="14" t="str">
        <x:v>No enforceable due date; confirmation requested</x:v>
      </x:c>
      <x:c r="F14" s="14" t="str">
        <x:v>Functional</x:v>
      </x:c>
      <x:c r="G14" s="14" t="str">
        <x:v>Not Executed</x:v>
      </x:c>
      <x:c r="H14" s="14" t="str">
        <x:v>Medium</x:v>
      </x:c>
    </x:row>
    <x:row r="15">
      <x:c r="A15" s="14" t="str">
        <x:v>TC-014</x:v>
      </x:c>
      <x:c r="B15" s="14" t="str">
        <x:v>FR-013</x:v>
      </x:c>
      <x:c r="C15" s="14" t="str">
        <x:v>Complete open promise</x:v>
      </x:c>
      <x:c r="D15" s="14" t="str">
        <x:v>Authorized owner with open item</x:v>
      </x:c>
      <x:c r="E15" s="14" t="str">
        <x:v>State becomes Fulfilled; completed timestamp recorded</x:v>
      </x:c>
      <x:c r="F15" s="14" t="str">
        <x:v>UAT</x:v>
      </x:c>
      <x:c r="G15" s="14" t="str">
        <x:v>Not Executed</x:v>
      </x:c>
      <x:c r="H15" s="14" t="str">
        <x:v>Medium</x:v>
      </x:c>
    </x:row>
    <x:row r="16">
      <x:c r="A16" s="14" t="str">
        <x:v>TC-015</x:v>
      </x:c>
      <x:c r="B16" s="14" t="str">
        <x:v>FR-013</x:v>
      </x:c>
      <x:c r="C16" s="14" t="str">
        <x:v>Block invalid state transition</x:v>
      </x:c>
      <x:c r="D16" s="14" t="str">
        <x:v>Cancelled item changed directly to Fulfilled</x:v>
      </x:c>
      <x:c r="E16" s="14" t="str">
        <x:v>Request rejected according to transition matrix</x:v>
      </x:c>
      <x:c r="F16" s="14" t="str">
        <x:v>Negative</x:v>
      </x:c>
      <x:c r="G16" s="14" t="str">
        <x:v>Not Executed</x:v>
      </x:c>
      <x:c r="H16" s="14" t="str">
        <x:v>Medium</x:v>
      </x:c>
    </x:row>
    <x:row r="17">
      <x:c r="A17" s="14" t="str">
        <x:v>TC-016</x:v>
      </x:c>
      <x:c r="B17" s="14" t="str">
        <x:v>FR-014</x:v>
      </x:c>
      <x:c r="C17" s="14" t="str">
        <x:v>Reassign with reason</x:v>
      </x:c>
      <x:c r="D17" s="14" t="str">
        <x:v>Manager selects new owner and reason</x:v>
      </x:c>
      <x:c r="E17" s="14" t="str">
        <x:v>New owner notified; history stores before/after values</x:v>
      </x:c>
      <x:c r="F17" s="14" t="str">
        <x:v>UAT</x:v>
      </x:c>
      <x:c r="G17" s="14" t="str">
        <x:v>Not Executed</x:v>
      </x:c>
      <x:c r="H17" s="14" t="str">
        <x:v>Medium</x:v>
      </x:c>
    </x:row>
    <x:row r="18">
      <x:c r="A18" s="14" t="str">
        <x:v>TC-017</x:v>
      </x:c>
      <x:c r="B18" s="14" t="str">
        <x:v>FR-015</x:v>
      </x:c>
      <x:c r="C18" s="14" t="str">
        <x:v>Request due date extension</x:v>
      </x:c>
      <x:c r="D18" s="14" t="str">
        <x:v>Owner provides proposed date and reason</x:v>
      </x:c>
      <x:c r="E18" s="14" t="str">
        <x:v>Approval route applied; SLA clock handled per policy</x:v>
      </x:c>
      <x:c r="F18" s="14" t="str">
        <x:v>UAT</x:v>
      </x:c>
      <x:c r="G18" s="14" t="str">
        <x:v>Not Executed</x:v>
      </x:c>
      <x:c r="H18" s="14" t="str">
        <x:v>Medium</x:v>
      </x:c>
    </x:row>
    <x:row r="19">
      <x:c r="A19" s="14" t="str">
        <x:v>TC-018</x:v>
      </x:c>
      <x:c r="B19" s="14" t="str">
        <x:v>FR-016</x:v>
      </x:c>
      <x:c r="C19" s="14" t="str">
        <x:v>Send due-soon reminder</x:v>
      </x:c>
      <x:c r="D19" s="14" t="str">
        <x:v>High-priority item within warning window</x:v>
      </x:c>
      <x:c r="E19" s="14" t="str">
        <x:v>One reminder sent through preferred channel</x:v>
      </x:c>
      <x:c r="F19" s="14" t="str">
        <x:v>Integration</x:v>
      </x:c>
      <x:c r="G19" s="14" t="str">
        <x:v>Not Executed</x:v>
      </x:c>
      <x:c r="H19" s="14" t="str">
        <x:v>Medium</x:v>
      </x:c>
    </x:row>
    <x:row r="20">
      <x:c r="A20" s="14" t="str">
        <x:v>TC-019</x:v>
      </x:c>
      <x:c r="B20" s="14" t="str">
        <x:v>FR-016</x:v>
      </x:c>
      <x:c r="C20" s="14" t="str">
        <x:v>Suppress duplicate reminder</x:v>
      </x:c>
      <x:c r="D20" s="14" t="str">
        <x:v>Reminder already sent within suppression period</x:v>
      </x:c>
      <x:c r="E20" s="14" t="str">
        <x:v>No second notification generated</x:v>
      </x:c>
      <x:c r="F20" s="14" t="str">
        <x:v>Negative</x:v>
      </x:c>
      <x:c r="G20" s="14" t="str">
        <x:v>Not Executed</x:v>
      </x:c>
      <x:c r="H20" s="14" t="str">
        <x:v>Medium</x:v>
      </x:c>
    </x:row>
    <x:row r="21">
      <x:c r="A21" s="14" t="str">
        <x:v>TC-020</x:v>
      </x:c>
      <x:c r="B21" s="14" t="str">
        <x:v>FR-017</x:v>
      </x:c>
      <x:c r="C21" s="14" t="str">
        <x:v>Escalate critical overdue item</x:v>
      </x:c>
      <x:c r="D21" s="14" t="str">
        <x:v>Critical item overdue beyond threshold</x:v>
      </x:c>
      <x:c r="E21" s="14" t="str">
        <x:v>Escalation event and manager notification created</x:v>
      </x:c>
      <x:c r="F21" s="14" t="str">
        <x:v>UAT</x:v>
      </x:c>
      <x:c r="G21" s="14" t="str">
        <x:v>Not Executed</x:v>
      </x:c>
      <x:c r="H21" s="14" t="str">
        <x:v>Medium</x:v>
      </x:c>
    </x:row>
    <x:row r="22">
      <x:c r="A22" s="14" t="str">
        <x:v>TC-021</x:v>
      </x:c>
      <x:c r="B22" s="14" t="str">
        <x:v>FR-018</x:v>
      </x:c>
      <x:c r="C22" s="14" t="str">
        <x:v>Complete from Teams card</x:v>
      </x:c>
      <x:c r="D22" s="14" t="str">
        <x:v>Valid signed action payload</x:v>
      </x:c>
      <x:c r="E22" s="14" t="str">
        <x:v>Promise completed and card refreshed</x:v>
      </x:c>
      <x:c r="F22" s="14" t="str">
        <x:v>Integration</x:v>
      </x:c>
      <x:c r="G22" s="14" t="str">
        <x:v>Not Executed</x:v>
      </x:c>
      <x:c r="H22" s="14" t="str">
        <x:v>Medium</x:v>
      </x:c>
    </x:row>
    <x:row r="23">
      <x:c r="A23" s="14" t="str">
        <x:v>TC-022</x:v>
      </x:c>
      <x:c r="B23" s="14" t="str">
        <x:v>FR-019</x:v>
      </x:c>
      <x:c r="C23" s="14" t="str">
        <x:v>Search with text and department filter</x:v>
      </x:c>
      <x:c r="D23" s="14" t="str">
        <x:v>Authorized user</x:v>
      </x:c>
      <x:c r="E23" s="14" t="str">
        <x:v>Results match both conditions within 2 seconds P95 target</x:v>
      </x:c>
      <x:c r="F23" s="14" t="str">
        <x:v>Performance</x:v>
      </x:c>
      <x:c r="G23" s="14" t="str">
        <x:v>Not Executed</x:v>
      </x:c>
      <x:c r="H23" s="14" t="str">
        <x:v>Medium</x:v>
      </x:c>
    </x:row>
    <x:row r="24">
      <x:c r="A24" s="14" t="str">
        <x:v>TC-023</x:v>
      </x:c>
      <x:c r="B24" s="14" t="str">
        <x:v>FR-020</x:v>
      </x:c>
      <x:c r="C24" s="14" t="str">
        <x:v>Render conversation timeline</x:v>
      </x:c>
      <x:c r="D24" s="14" t="str">
        <x:v>Promise with messages and history</x:v>
      </x:c>
      <x:c r="E24" s="14" t="str">
        <x:v>Chronological events display with evidence links</x:v>
      </x:c>
      <x:c r="F24" s="14" t="str">
        <x:v>UAT</x:v>
      </x:c>
      <x:c r="G24" s="14" t="str">
        <x:v>Not Executed</x:v>
      </x:c>
      <x:c r="H24" s="14" t="str">
        <x:v>Medium</x:v>
      </x:c>
    </x:row>
    <x:row r="25">
      <x:c r="A25" s="14" t="str">
        <x:v>TC-024</x:v>
      </x:c>
      <x:c r="B25" s="14" t="str">
        <x:v>FR-021</x:v>
      </x:c>
      <x:c r="C25" s="14" t="str">
        <x:v>Drill from executive KPI</x:v>
      </x:c>
      <x:c r="D25" s="14" t="str">
        <x:v>Executive selects overdue rate</x:v>
      </x:c>
      <x:c r="E25" s="14" t="str">
        <x:v>Authorized department/project detail opens with same filter context</x:v>
      </x:c>
      <x:c r="F25" s="14" t="str">
        <x:v>UAT</x:v>
      </x:c>
      <x:c r="G25" s="14" t="str">
        <x:v>Not Executed</x:v>
      </x:c>
      <x:c r="H25" s="14" t="str">
        <x:v>Medium</x:v>
      </x:c>
    </x:row>
    <x:row r="26">
      <x:c r="A26" s="14" t="str">
        <x:v>TC-025</x:v>
      </x:c>
      <x:c r="B26" s="14" t="str">
        <x:v>FR-024</x:v>
      </x:c>
      <x:c r="C26" s="14" t="str">
        <x:v>Deliver scheduled monthly report</x:v>
      </x:c>
      <x:c r="D26" s="14" t="str">
        <x:v>Valid schedule and recipients</x:v>
      </x:c>
      <x:c r="E26" s="14" t="str">
        <x:v>Report generated, access checked and delivery logged</x:v>
      </x:c>
      <x:c r="F26" s="14" t="str">
        <x:v>Reporting</x:v>
      </x:c>
      <x:c r="G26" s="14" t="str">
        <x:v>Not Executed</x:v>
      </x:c>
      <x:c r="H26" s="14" t="str">
        <x:v>Medium</x:v>
      </x:c>
    </x:row>
    <x:row r="27">
      <x:c r="A27" s="14" t="str">
        <x:v>TC-026</x:v>
      </x:c>
      <x:c r="B27" s="14" t="str">
        <x:v>FR-026</x:v>
      </x:c>
      <x:c r="C27" s="14" t="str">
        <x:v>Disputed item excluded from score</x:v>
      </x:c>
      <x:c r="D27" s="14" t="str">
        <x:v>Promise in active dispute</x:v>
      </x:c>
      <x:c r="E27" s="14" t="str">
        <x:v>Accountability KPI excludes item and labels exclusion</x:v>
      </x:c>
      <x:c r="F27" s="14" t="str">
        <x:v>Data / UAT</x:v>
      </x:c>
      <x:c r="G27" s="14" t="str">
        <x:v>Not Executed</x:v>
      </x:c>
      <x:c r="H27" s="14" t="str">
        <x:v>Medium</x:v>
      </x:c>
    </x:row>
    <x:row r="28">
      <x:c r="A28" s="14" t="str">
        <x:v>TC-027</x:v>
      </x:c>
      <x:c r="B28" s="14" t="str">
        <x:v>FR-027</x:v>
      </x:c>
      <x:c r="C28" s="14" t="str">
        <x:v>Enforce source row security</x:v>
      </x:c>
      <x:c r="D28" s="14" t="str">
        <x:v>User lacks access to original conversation</x:v>
      </x:c>
      <x:c r="E28" s="14" t="str">
        <x:v>Promise and source evidence are not visible</x:v>
      </x:c>
      <x:c r="F28" s="14" t="str">
        <x:v>Security</x:v>
      </x:c>
      <x:c r="G28" s="14" t="str">
        <x:v>Not Executed</x:v>
      </x:c>
      <x:c r="H28" s="14" t="str">
        <x:v>High</x:v>
      </x:c>
    </x:row>
    <x:row r="29">
      <x:c r="A29" s="14" t="str">
        <x:v>TC-028</x:v>
      </x:c>
      <x:c r="B29" s="14" t="str">
        <x:v>FR-028</x:v>
      </x:c>
      <x:c r="C29" s="14" t="str">
        <x:v>Audit export requires purpose</x:v>
      </x:c>
      <x:c r="D29" s="14" t="str">
        <x:v>Compliance user omits purpose code</x:v>
      </x:c>
      <x:c r="E29" s="14" t="str">
        <x:v>Export blocked and attempt logged</x:v>
      </x:c>
      <x:c r="F29" s="14" t="str">
        <x:v>Compliance</x:v>
      </x:c>
      <x:c r="G29" s="14" t="str">
        <x:v>Not Executed</x:v>
      </x:c>
      <x:c r="H29" s="14" t="str">
        <x:v>High</x:v>
      </x:c>
    </x:row>
    <x:row r="30">
      <x:c r="A30" s="14" t="str">
        <x:v>TC-029</x:v>
      </x:c>
      <x:c r="B30" s="14" t="str">
        <x:v>FR-029</x:v>
      </x:c>
      <x:c r="C30" s="14" t="str">
        <x:v>Apply retention deletion</x:v>
      </x:c>
      <x:c r="D30" s="14" t="str">
        <x:v>Record reaches retention expiration without hold</x:v>
      </x:c>
      <x:c r="E30" s="14" t="str">
        <x:v>Content deleted/anonymized per policy; tombstone audit retained</x:v>
      </x:c>
      <x:c r="F30" s="14" t="str">
        <x:v>Compliance</x:v>
      </x:c>
      <x:c r="G30" s="14" t="str">
        <x:v>Not Executed</x:v>
      </x:c>
      <x:c r="H30" s="14" t="str">
        <x:v>High</x:v>
      </x:c>
    </x:row>
    <x:row r="31">
      <x:c r="A31" s="14" t="str">
        <x:v>TC-030</x:v>
      </x:c>
      <x:c r="B31" s="14" t="str">
        <x:v>FR-030</x:v>
      </x:c>
      <x:c r="C31" s="14" t="str">
        <x:v>Update SLA reference data</x:v>
      </x:c>
      <x:c r="D31" s="14" t="str">
        <x:v>Authorized admin changes High target 48 to 36 hours</x:v>
      </x:c>
      <x:c r="E31" s="14" t="str">
        <x:v>Versioned configuration effective from chosen date; no retroactive corruption</x:v>
      </x:c>
      <x:c r="F31" s="14" t="str">
        <x:v>UAT</x:v>
      </x:c>
      <x:c r="G31" s="14" t="str">
        <x:v>Not Executed</x:v>
      </x:c>
      <x:c r="H31" s="14" t="str">
        <x:v>Medium</x:v>
      </x:c>
    </x:row>
  </x:sheetData>
  <x:conditionalFormatting sqref="G2:G31">
    <x:cfRule type="expression" dxfId="3" priority="1">
      <x:formula>G2="Open"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f17392fdd0410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5" hidden="0" customWidth="1"/>
    <x:col min="7" max="7" width="36" hidden="0" customWidth="1"/>
    <x:col min="8" max="8" width="18" hidden="0" customWidth="1"/>
  </x:cols>
  <x:sheetData>
    <x:row r="1" ht="32" customHeight="1">
      <x:c r="A1" s="6" t="str">
        <x:v>risk_id</x:v>
      </x:c>
      <x:c r="B1" s="6" t="str">
        <x:v>category</x:v>
      </x:c>
      <x:c r="C1" s="6" t="str">
        <x:v>risk</x:v>
      </x:c>
      <x:c r="D1" s="6" t="str">
        <x:v>probability</x:v>
      </x:c>
      <x:c r="E1" s="6" t="str">
        <x:v>impact</x:v>
      </x:c>
      <x:c r="F1" s="6" t="str">
        <x:v>score</x:v>
      </x:c>
      <x:c r="G1" s="6" t="str">
        <x:v>mitigation</x:v>
      </x:c>
      <x:c r="H1" s="6" t="str">
        <x:v>owner</x:v>
      </x:c>
    </x:row>
    <x:row r="2">
      <x:c r="A2" s="14" t="str">
        <x:v>R-001</x:v>
      </x:c>
      <x:c r="B2" s="14" t="str">
        <x:v>Privacy</x:v>
      </x:c>
      <x:c r="C2" s="14" t="str">
        <x:v>Employees perceive the platform as surveillance rather than workflow assistance.</x:v>
      </x:c>
      <x:c r="D2" s="14" t="str">
        <x:v>High</x:v>
      </x:c>
      <x:c r="E2" s="14" t="str">
        <x:v>High</x:v>
      </x:c>
      <x:c r="F2" s="14" t="n">
        <x:v>20</x:v>
      </x:c>
      <x:c r="G2" s="14" t="str">
        <x:v>Purpose limitation, transparent evidence, dispute process, aggregate reporting thresholds, works council/legal review.</x:v>
      </x:c>
      <x:c r="H2" s="14" t="str">
        <x:v>Privacy Officer</x:v>
      </x:c>
    </x:row>
    <x:row r="3">
      <x:c r="A3" s="14" t="str">
        <x:v>R-002</x:v>
      </x:c>
      <x:c r="B3" s="14" t="str">
        <x:v>AI Quality</x:v>
      </x:c>
      <x:c r="C3" s="14" t="str">
        <x:v>False positives create notification fatigue and undermine trust.</x:v>
      </x:c>
      <x:c r="D3" s="14" t="str">
        <x:v>High</x:v>
      </x:c>
      <x:c r="E3" s="14" t="str">
        <x:v>High</x:v>
      </x:c>
      <x:c r="F3" s="14" t="n">
        <x:v>20</x:v>
      </x:c>
      <x:c r="G3" s="14" t="str">
        <x:v>Confidence bands, human review, precision-first MVP, user correction telemetry, source-specific thresholds.</x:v>
      </x:c>
      <x:c r="H3" s="14" t="str">
        <x:v>ML Lead</x:v>
      </x:c>
    </x:row>
    <x:row r="4">
      <x:c r="A4" s="14" t="str">
        <x:v>R-003</x:v>
      </x:c>
      <x:c r="B4" s="14" t="str">
        <x:v>Integration</x:v>
      </x:c>
      <x:c r="C4" s="14" t="str">
        <x:v>API limits, token expiry or schema changes interrupt ingestion.</x:v>
      </x:c>
      <x:c r="D4" s="14" t="str">
        <x:v>Medium</x:v>
      </x:c>
      <x:c r="E4" s="14" t="str">
        <x:v>High</x:v>
      </x:c>
      <x:c r="F4" s="14" t="n">
        <x:v>15</x:v>
      </x:c>
      <x:c r="G4" s="14" t="str">
        <x:v>Durable checkpoints, replay, token alerts, contract tests, vendor change monitoring.</x:v>
      </x:c>
      <x:c r="H4" s="14" t="str">
        <x:v>Integration Lead</x:v>
      </x:c>
    </x:row>
    <x:row r="5">
      <x:c r="A5" s="14" t="str">
        <x:v>R-004</x:v>
      </x:c>
      <x:c r="B5" s="14" t="str">
        <x:v>Security</x:v>
      </x:c>
      <x:c r="C5" s="14" t="str">
        <x:v>Sensitive content is exposed beyond original source permissions.</x:v>
      </x:c>
      <x:c r="D5" s="14" t="str">
        <x:v>Low</x:v>
      </x:c>
      <x:c r="E5" s="14" t="str">
        <x:v>Critical</x:v>
      </x:c>
      <x:c r="F5" s="14" t="n">
        <x:v>20</x:v>
      </x:c>
      <x:c r="G5" s="14" t="str">
        <x:v>Permission mirroring, row-level security, least privilege, penetration tests, break-glass controls.</x:v>
      </x:c>
      <x:c r="H5" s="14" t="str">
        <x:v>CISO Delegate</x:v>
      </x:c>
    </x:row>
    <x:row r="6">
      <x:c r="A6" s="14" t="str">
        <x:v>R-005</x:v>
      </x:c>
      <x:c r="B6" s="14" t="str">
        <x:v>Adoption</x:v>
      </x:c>
      <x:c r="C6" s="14" t="str">
        <x:v>Users ignore or reject AI-detected promises.</x:v>
      </x:c>
      <x:c r="D6" s="14" t="str">
        <x:v>Medium</x:v>
      </x:c>
      <x:c r="E6" s="14" t="str">
        <x:v>High</x:v>
      </x:c>
      <x:c r="F6" s="14" t="n">
        <x:v>15</x:v>
      </x:c>
      <x:c r="G6" s="14" t="str">
        <x:v>Pilot champions, low-friction confirmation, personal value features, adoption analytics, targeted training.</x:v>
      </x:c>
      <x:c r="H6" s="14" t="str">
        <x:v>Change Lead</x:v>
      </x:c>
    </x:row>
    <x:row r="7">
      <x:c r="A7" s="14" t="str">
        <x:v>R-006</x:v>
      </x:c>
      <x:c r="B7" s="14" t="str">
        <x:v>Data</x:v>
      </x:c>
      <x:c r="C7" s="14" t="str">
        <x:v>Identity aliases and team references resolve to the wrong owner.</x:v>
      </x:c>
      <x:c r="D7" s="14" t="str">
        <x:v>Medium</x:v>
      </x:c>
      <x:c r="E7" s="14" t="str">
        <x:v>Medium</x:v>
      </x:c>
      <x:c r="F7" s="14" t="n">
        <x:v>12</x:v>
      </x:c>
      <x:c r="G7" s="14" t="str">
        <x:v>Directory mastering, alias stewardship, confidence indicators, owner confirmation.</x:v>
      </x:c>
      <x:c r="H7" s="14" t="str">
        <x:v>Data Steward</x:v>
      </x:c>
    </x:row>
    <x:row r="8">
      <x:c r="A8" s="14" t="str">
        <x:v>R-007</x:v>
      </x:c>
      <x:c r="B8" s="14" t="str">
        <x:v>Legal</x:v>
      </x:c>
      <x:c r="C8" s="14" t="str">
        <x:v>Cross-border transfer or retention violates regional policy.</x:v>
      </x:c>
      <x:c r="D8" s="14" t="str">
        <x:v>Low</x:v>
      </x:c>
      <x:c r="E8" s="14" t="str">
        <x:v>Critical</x:v>
      </x:c>
      <x:c r="F8" s="14" t="n">
        <x:v>20</x:v>
      </x:c>
      <x:c r="G8" s="14" t="str">
        <x:v>Regional processing, policy engine, legal holds, DPIA, configurable retention.</x:v>
      </x:c>
      <x:c r="H8" s="14" t="str">
        <x:v>Legal Counsel</x:v>
      </x:c>
    </x:row>
    <x:row r="9">
      <x:c r="A9" s="14" t="str">
        <x:v>R-008</x:v>
      </x:c>
      <x:c r="B9" s="14" t="str">
        <x:v>Performance</x:v>
      </x:c>
      <x:c r="C9" s="14" t="str">
        <x:v>Search and analytics degrade at enterprise message volume.</x:v>
      </x:c>
      <x:c r="D9" s="14" t="str">
        <x:v>Medium</x:v>
      </x:c>
      <x:c r="E9" s="14" t="str">
        <x:v>Medium</x:v>
      </x:c>
      <x:c r="F9" s="14" t="n">
        <x:v>12</x:v>
      </x:c>
      <x:c r="G9" s="14" t="str">
        <x:v>Partitioning, asynchronous enrichment, search index, materialized aggregates, load testing.</x:v>
      </x:c>
      <x:c r="H9" s="14" t="str">
        <x:v>Solution Architect</x:v>
      </x:c>
    </x:row>
    <x:row r="10">
      <x:c r="A10" s="14" t="str">
        <x:v>R-009</x:v>
      </x:c>
      <x:c r="B10" s="14" t="str">
        <x:v>Change</x:v>
      </x:c>
      <x:c r="C10" s="14" t="str">
        <x:v>Scope expands into general project management and delays MVP.</x:v>
      </x:c>
      <x:c r="D10" s="14" t="str">
        <x:v>High</x:v>
      </x:c>
      <x:c r="E10" s="14" t="str">
        <x:v>Medium</x:v>
      </x:c>
      <x:c r="F10" s="14" t="n">
        <x:v>16</x:v>
      </x:c>
      <x:c r="G10" s="14" t="str">
        <x:v>Explicit out-of-scope, product principles, change control and value-based backlog.</x:v>
      </x:c>
      <x:c r="H10" s="14" t="str">
        <x:v>Product Owner</x:v>
      </x:c>
    </x:row>
    <x:row r="11">
      <x:c r="A11" s="14" t="str">
        <x:v>R-010</x:v>
      </x:c>
      <x:c r="B11" s="14" t="str">
        <x:v>Analytics</x:v>
      </x:c>
      <x:c r="C11" s="14" t="str">
        <x:v>Individual accountability metrics are misused without context.</x:v>
      </x:c>
      <x:c r="D11" s="14" t="str">
        <x:v>Medium</x:v>
      </x:c>
      <x:c r="E11" s="14" t="str">
        <x:v>High</x:v>
      </x:c>
      <x:c r="F11" s="14" t="n">
        <x:v>15</x:v>
      </x:c>
      <x:c r="G11" s="14" t="str">
        <x:v>Contextual exclusions, minimum sample sizes, disputes, governance, no automated performance action.</x:v>
      </x:c>
      <x:c r="H11" s="14" t="str">
        <x:v>HR &amp; Privacy</x:v>
      </x:c>
    </x:row>
  </x:sheetData>
  <x:conditionalFormatting sqref="F2:F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8166519872b4da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5" hidden="0" customWidth="1"/>
    <x:col min="7" max="7" width="18" hidden="0" customWidth="1"/>
  </x:cols>
  <x:sheetData>
    <x:row r="1" ht="32" customHeight="1">
      <x:c r="A1" s="6" t="str">
        <x:v>raid_id</x:v>
      </x:c>
      <x:c r="B1" s="6" t="str">
        <x:v>type</x:v>
      </x:c>
      <x:c r="C1" s="6" t="str">
        <x:v>description</x:v>
      </x:c>
      <x:c r="D1" s="6" t="str">
        <x:v>owner</x:v>
      </x:c>
      <x:c r="E1" s="6" t="str">
        <x:v>due_date</x:v>
      </x:c>
      <x:c r="F1" s="6" t="str">
        <x:v>status</x:v>
      </x:c>
      <x:c r="G1" s="6" t="str">
        <x:v>impact</x:v>
      </x:c>
    </x:row>
    <x:row r="2">
      <x:c r="A2" s="14" t="str">
        <x:v>A-001</x:v>
      </x:c>
      <x:c r="B2" s="14" t="str">
        <x:v>Assumption</x:v>
      </x:c>
      <x:c r="C2" s="14" t="str">
        <x:v>Source APIs and enterprise identity sandbox are available by architecture sprint.</x:v>
      </x:c>
      <x:c r="D2" s="14" t="str">
        <x:v>Program Manager</x:v>
      </x:c>
      <x:c r="E2" s="14" t="str">
        <x:v>2026-09-04</x:v>
      </x:c>
      <x:c r="F2" s="14" t="str">
        <x:v>Open</x:v>
      </x:c>
      <x:c r="G2" s="14" t="str">
        <x:v>Could delay connector development.</x:v>
      </x:c>
    </x:row>
    <x:row r="3">
      <x:c r="A3" s="14" t="str">
        <x:v>A-002</x:v>
      </x:c>
      <x:c r="B3" s="14" t="str">
        <x:v>Assumption</x:v>
      </x:c>
      <x:c r="C3" s="14" t="str">
        <x:v>Pilot departments permit processing of internal business communications under approved policy.</x:v>
      </x:c>
      <x:c r="D3" s="14" t="str">
        <x:v>Privacy Officer</x:v>
      </x:c>
      <x:c r="E3" s="14" t="str">
        <x:v>2026-09-18</x:v>
      </x:c>
      <x:c r="F3" s="14" t="str">
        <x:v>Open</x:v>
      </x:c>
      <x:c r="G3" s="14" t="str">
        <x:v>Pilot scope may need reduction.</x:v>
      </x:c>
    </x:row>
    <x:row r="4">
      <x:c r="A4" s="14" t="str">
        <x:v>I-001</x:v>
      </x:c>
      <x:c r="B4" s="14" t="str">
        <x:v>Issue</x:v>
      </x:c>
      <x:c r="C4" s="14" t="str">
        <x:v>Gmail delegated access pattern requires additional security exception review.</x:v>
      </x:c>
      <x:c r="D4" s="14" t="str">
        <x:v>Security Lead</x:v>
      </x:c>
      <x:c r="E4" s="14" t="str">
        <x:v>2026-09-11</x:v>
      </x:c>
      <x:c r="F4" s="14" t="str">
        <x:v>In Progress</x:v>
      </x:c>
      <x:c r="G4" s="14" t="str">
        <x:v>Email integration could move to Release 1.1.</x:v>
      </x:c>
    </x:row>
    <x:row r="5">
      <x:c r="A5" s="14" t="str">
        <x:v>D-001</x:v>
      </x:c>
      <x:c r="B5" s="14" t="str">
        <x:v>Dependency</x:v>
      </x:c>
      <x:c r="C5" s="14" t="str">
        <x:v>Enterprise directory alias cleanup must complete before owner resolution UAT.</x:v>
      </x:c>
      <x:c r="D5" s="14" t="str">
        <x:v>Data Steward</x:v>
      </x:c>
      <x:c r="E5" s="14" t="str">
        <x:v>2026-12-04</x:v>
      </x:c>
      <x:c r="F5" s="14" t="str">
        <x:v>Open</x:v>
      </x:c>
      <x:c r="G5" s="14" t="str">
        <x:v>Owner matching precision risk.</x:v>
      </x:c>
    </x:row>
    <x:row r="6">
      <x:c r="A6" s="14" t="str">
        <x:v>D-002</x:v>
      </x:c>
      <x:c r="B6" s="14" t="str">
        <x:v>Dependency</x:v>
      </x:c>
      <x:c r="C6" s="14" t="str">
        <x:v>BI gateway and certified workspace must be provisioned for Power BI dashboards.</x:v>
      </x:c>
      <x:c r="D6" s="14" t="str">
        <x:v>BI Platform Owner</x:v>
      </x:c>
      <x:c r="E6" s="14" t="str">
        <x:v>2026-12-18</x:v>
      </x:c>
      <x:c r="F6" s="14" t="str">
        <x:v>Open</x:v>
      </x:c>
      <x:c r="G6" s="14" t="str">
        <x:v>Dashboard UAT delay.</x:v>
      </x:c>
    </x:row>
    <x:row r="7">
      <x:c r="A7" s="14" t="str">
        <x:v>R-001</x:v>
      </x:c>
      <x:c r="B7" s="14" t="str">
        <x:v>Risk</x:v>
      </x:c>
      <x:c r="C7" s="14" t="str">
        <x:v>Employee surveillance perception reduces adoption.</x:v>
      </x:c>
      <x:c r="D7" s="14" t="str">
        <x:v>Change Lead</x:v>
      </x:c>
      <x:c r="E7" s="14" t="str">
        <x:v>2027-02-08</x:v>
      </x:c>
      <x:c r="F7" s="14" t="str">
        <x:v>Mitigating</x:v>
      </x:c>
      <x:c r="G7" s="14" t="str">
        <x:v>Low confirmation and usage rates.</x:v>
      </x:c>
    </x:row>
    <x:row r="8">
      <x:c r="A8" s="14" t="str">
        <x:v>R-002</x:v>
      </x:c>
      <x:c r="B8" s="14" t="str">
        <x:v>Risk</x:v>
      </x:c>
      <x:c r="C8" s="14" t="str">
        <x:v>Model precision below 0.88 at pilot entry.</x:v>
      </x:c>
      <x:c r="D8" s="14" t="str">
        <x:v>ML Lead</x:v>
      </x:c>
      <x:c r="E8" s="14" t="str">
        <x:v>2027-01-22</x:v>
      </x:c>
      <x:c r="F8" s="14" t="str">
        <x:v>Mitigating</x:v>
      </x:c>
      <x:c r="G8" s="14" t="str">
        <x:v>Review workload and trust risk.</x:v>
      </x:c>
    </x:row>
    <x:row r="9">
      <x:c r="A9" s="14" t="str">
        <x:v>I-002</x:v>
      </x:c>
      <x:c r="B9" s="14" t="str">
        <x:v>Issue</x:v>
      </x:c>
      <x:c r="C9" s="14" t="str">
        <x:v>Teams adaptive card action callback is blocked in one network segment.</x:v>
      </x:c>
      <x:c r="D9" s="14" t="str">
        <x:v>Integration Lead</x:v>
      </x:c>
      <x:c r="E9" s="14" t="str">
        <x:v>2026-12-11</x:v>
      </x:c>
      <x:c r="F9" s="14" t="str">
        <x:v>Open</x:v>
      </x:c>
      <x:c r="G9" s="14" t="str">
        <x:v>Teams update-in-place feature at risk.</x:v>
      </x:c>
    </x:row>
  </x:sheetData>
  <x:conditionalFormatting sqref="F2:F9">
    <x:cfRule type="expression" dxfId="4" priority="1">
      <x:formula>F2="Open"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0c0bf563cf4dc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8" hidden="0" customWidth="1"/>
    <x:col min="5" max="5" width="36" hidden="0" customWidth="1"/>
  </x:cols>
  <x:sheetData>
    <x:row r="1" ht="32" customHeight="1">
      <x:c r="A1" s="6" t="str">
        <x:v>phase</x:v>
      </x:c>
      <x:c r="B1" s="6" t="str">
        <x:v>start</x:v>
      </x:c>
      <x:c r="C1" s="6" t="str">
        <x:v>end</x:v>
      </x:c>
      <x:c r="D1" s="6" t="str">
        <x:v>duration_weeks</x:v>
      </x:c>
      <x:c r="E1" s="6" t="str">
        <x:v>deliverables</x:v>
      </x:c>
    </x:row>
    <x:row r="2">
      <x:c r="A2" s="14" t="str">
        <x:v>Discovery &amp; Mobilization</x:v>
      </x:c>
      <x:c r="B2" s="14" t="str">
        <x:v>2026-08-03</x:v>
      </x:c>
      <x:c r="C2" s="14" t="str">
        <x:v>2026-08-21</x:v>
      </x:c>
      <x:c r="D2" s="14" t="n">
        <x:v>3</x:v>
      </x:c>
      <x:c r="E2" s="14" t="str">
        <x:v>Charter, stakeholder map, baseline metrics, scope, DPIA kickoff</x:v>
      </x:c>
    </x:row>
    <x:row r="3">
      <x:c r="A3" s="14" t="str">
        <x:v>Requirements &amp; Experience Design</x:v>
      </x:c>
      <x:c r="B3" s="14" t="str">
        <x:v>2026-08-24</x:v>
      </x:c>
      <x:c r="C3" s="14" t="str">
        <x:v>2026-09-25</x:v>
      </x:c>
      <x:c r="D3" s="14" t="n">
        <x:v>5</x:v>
      </x:c>
      <x:c r="E3" s="14" t="str">
        <x:v>BRD, FRD, process models, wireframes, backlog, RTM</x:v>
      </x:c>
    </x:row>
    <x:row r="4">
      <x:c r="A4" s="14" t="str">
        <x:v>Architecture &amp; Data Foundation</x:v>
      </x:c>
      <x:c r="B4" s="14" t="str">
        <x:v>2026-09-14</x:v>
      </x:c>
      <x:c r="C4" s="14" t="str">
        <x:v>2026-10-09</x:v>
      </x:c>
      <x:c r="D4" s="14" t="n">
        <x:v>4</x:v>
      </x:c>
      <x:c r="E4" s="14" t="str">
        <x:v>Architecture, canonical model, security design, connectors framework</x:v>
      </x:c>
    </x:row>
    <x:row r="5">
      <x:c r="A5" s="14" t="str">
        <x:v>MVP Build</x:v>
      </x:c>
      <x:c r="B5" s="14" t="str">
        <x:v>2026-10-12</x:v>
      </x:c>
      <x:c r="C5" s="14" t="str">
        <x:v>2026-12-18</x:v>
      </x:c>
      <x:c r="D5" s="14" t="n">
        <x:v>10</x:v>
      </x:c>
      <x:c r="E5" s="14" t="str">
        <x:v>Slack, Teams, Gmail; AI extraction; ledger; reminders; dashboards</x:v>
      </x:c>
    </x:row>
    <x:row r="6">
      <x:c r="A6" s="14" t="str">
        <x:v>System Test &amp; UAT</x:v>
      </x:c>
      <x:c r="B6" s="14" t="str">
        <x:v>2027-01-04</x:v>
      </x:c>
      <x:c r="C6" s="14" t="str">
        <x:v>2027-02-05</x:v>
      </x:c>
      <x:c r="D6" s="14" t="n">
        <x:v>5</x:v>
      </x:c>
      <x:c r="E6" s="14" t="str">
        <x:v>SIT, performance/security tests, UAT, defect closure</x:v>
      </x:c>
    </x:row>
    <x:row r="7">
      <x:c r="A7" s="14" t="str">
        <x:v>Pilot &amp; Hypercare</x:v>
      </x:c>
      <x:c r="B7" s="14" t="str">
        <x:v>2027-02-08</x:v>
      </x:c>
      <x:c r="C7" s="14" t="str">
        <x:v>2027-03-12</x:v>
      </x:c>
      <x:c r="D7" s="14" t="n">
        <x:v>5</x:v>
      </x:c>
      <x:c r="E7" s="14" t="str">
        <x:v>500-user pilot, model tuning, adoption support, value measurement</x:v>
      </x:c>
    </x:row>
    <x:row r="8">
      <x:c r="A8" s="14" t="str">
        <x:v>Enterprise Release 1.0</x:v>
      </x:c>
      <x:c r="B8" s="14" t="str">
        <x:v>2027-03-15</x:v>
      </x:c>
      <x:c r="C8" s="14" t="str">
        <x:v>2027-04-16</x:v>
      </x:c>
      <x:c r="D8" s="14" t="n">
        <x:v>5</x:v>
      </x:c>
      <x:c r="E8" s="14" t="str">
        <x:v>3,500-user rollout, report automation, operating model</x:v>
      </x:c>
    </x:row>
    <x:row r="9">
      <x:c r="A9" s="14" t="str">
        <x:v>Release 1.1</x:v>
      </x:c>
      <x:c r="B9" s="14" t="str">
        <x:v>2027-04-19</x:v>
      </x:c>
      <x:c r="C9" s="14" t="str">
        <x:v>2027-06-11</x:v>
      </x:c>
      <x:c r="D9" s="14" t="n">
        <x:v>8</x:v>
      </x:c>
      <x:c r="E9" s="14" t="str">
        <x:v>Zoom, Jira, CRM/support integrations, predictive risk, advanced analytics</x:v>
      </x:c>
    </x:row>
  </x:sheetData>
  <x:pageMargins left="0.7" right="0.7" top="0.75" bottom="0.75" header="0.3" footer="0.3"/>
  <x:tableParts count="1">
    <x:tablePart xmlns:r="http://schemas.openxmlformats.org/officeDocument/2006/relationships" r:id="R43207671da2d490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36" hidden="0" customWidth="1"/>
    <x:col min="5" max="5" width="36" hidden="0" customWidth="1"/>
    <x:col min="6" max="6" width="18" hidden="0" customWidth="1"/>
    <x:col min="7" max="7" width="18" hidden="0" customWidth="1"/>
  </x:cols>
  <x:sheetData>
    <x:row r="1" ht="32" customHeight="1">
      <x:c r="A1" s="6" t="str">
        <x:v>sprint</x:v>
      </x:c>
      <x:c r="B1" s="6" t="str">
        <x:v>start</x:v>
      </x:c>
      <x:c r="C1" s="6" t="str">
        <x:v>end</x:v>
      </x:c>
      <x:c r="D1" s="6" t="str">
        <x:v>goal</x:v>
      </x:c>
      <x:c r="E1" s="6" t="str">
        <x:v>stories</x:v>
      </x:c>
      <x:c r="F1" s="6" t="str">
        <x:v>capacity_points</x:v>
      </x:c>
      <x:c r="G1" s="6" t="str">
        <x:v>planned_points</x:v>
      </x:c>
    </x:row>
    <x:row r="2">
      <x:c r="A2" s="14" t="str">
        <x:v>Sprint 1</x:v>
      </x:c>
      <x:c r="B2" s="14" t="str">
        <x:v>2026-10-12</x:v>
      </x:c>
      <x:c r="C2" s="14" t="str">
        <x:v>2026-10-23</x:v>
      </x:c>
      <x:c r="D2" s="14" t="str">
        <x:v>Ingestion foundation and canonical message model</x:v>
      </x:c>
      <x:c r="E2" s="14" t="str">
        <x:v>US-001, US-002</x:v>
      </x:c>
      <x:c r="F2" s="14" t="n">
        <x:v>34</x:v>
      </x:c>
      <x:c r="G2" s="14" t="n">
        <x:v>16</x:v>
      </x:c>
    </x:row>
    <x:row r="3">
      <x:c r="A3" s="14" t="str">
        <x:v>Sprint 2</x:v>
      </x:c>
      <x:c r="B3" s="14" t="str">
        <x:v>2026-10-26</x:v>
      </x:c>
      <x:c r="C3" s="14" t="str">
        <x:v>2026-11-06</x:v>
      </x:c>
      <x:c r="D3" s="14" t="str">
        <x:v>Promise extraction and confidence policy</x:v>
      </x:c>
      <x:c r="E3" s="14" t="str">
        <x:v>US-004, US-005</x:v>
      </x:c>
      <x:c r="F3" s="14" t="n">
        <x:v>34</x:v>
      </x:c>
      <x:c r="G3" s="14" t="n">
        <x:v>13</x:v>
      </x:c>
    </x:row>
    <x:row r="4">
      <x:c r="A4" s="14" t="str">
        <x:v>Sprint 3</x:v>
      </x:c>
      <x:c r="B4" s="14" t="str">
        <x:v>2026-11-09</x:v>
      </x:c>
      <x:c r="C4" s="14" t="str">
        <x:v>2026-11-20</x:v>
      </x:c>
      <x:c r="D4" s="14" t="str">
        <x:v>Owner and deadline resolution</x:v>
      </x:c>
      <x:c r="E4" s="14" t="str">
        <x:v>US-006, US-008</x:v>
      </x:c>
      <x:c r="F4" s="14" t="n">
        <x:v>34</x:v>
      </x:c>
      <x:c r="G4" s="14" t="n">
        <x:v>13</x:v>
      </x:c>
    </x:row>
    <x:row r="5">
      <x:c r="A5" s="14" t="str">
        <x:v>Sprint 4</x:v>
      </x:c>
      <x:c r="B5" s="14" t="str">
        <x:v>2026-11-23</x:v>
      </x:c>
      <x:c r="C5" s="14" t="str">
        <x:v>2026-12-04</x:v>
      </x:c>
      <x:c r="D5" s="14" t="str">
        <x:v>Ledger lifecycle and evidence</x:v>
      </x:c>
      <x:c r="E5" s="14" t="str">
        <x:v>US-009, US-011, US-017</x:v>
      </x:c>
      <x:c r="F5" s="14" t="n">
        <x:v>34</x:v>
      </x:c>
      <x:c r="G5" s="14" t="n">
        <x:v>15</x:v>
      </x:c>
    </x:row>
    <x:row r="6">
      <x:c r="A6" s="14" t="str">
        <x:v>Sprint 5</x:v>
      </x:c>
      <x:c r="B6" s="14" t="str">
        <x:v>2026-12-07</x:v>
      </x:c>
      <x:c r="C6" s="14" t="str">
        <x:v>2026-12-18</x:v>
      </x:c>
      <x:c r="D6" s="14" t="str">
        <x:v>Reminders, escalations and notification actions</x:v>
      </x:c>
      <x:c r="E6" s="14" t="str">
        <x:v>US-013, US-014, US-015</x:v>
      </x:c>
      <x:c r="F6" s="14" t="n">
        <x:v>34</x:v>
      </x:c>
      <x:c r="G6" s="14" t="n">
        <x:v>21</x:v>
      </x:c>
    </x:row>
    <x:row r="7">
      <x:c r="A7" s="14" t="str">
        <x:v>Sprint 6</x:v>
      </x:c>
      <x:c r="B7" s="14" t="str">
        <x:v>2026-12-21</x:v>
      </x:c>
      <x:c r="C7" s="14" t="str">
        <x:v>2027-01-01</x:v>
      </x:c>
      <x:c r="D7" s="14" t="str">
        <x:v>Search, personal queue and manager dashboard</x:v>
      </x:c>
      <x:c r="E7" s="14" t="str">
        <x:v>US-016, US-019, US-020</x:v>
      </x:c>
      <x:c r="F7" s="14" t="n">
        <x:v>34</x:v>
      </x:c>
      <x:c r="G7" s="14" t="n">
        <x:v>18</x:v>
      </x:c>
    </x:row>
    <x:row r="8">
      <x:c r="A8" s="14" t="str">
        <x:v>Sprint 7</x:v>
      </x:c>
      <x:c r="B8" s="14" t="str">
        <x:v>2027-01-04</x:v>
      </x:c>
      <x:c r="C8" s="14" t="str">
        <x:v>2027-01-15</x:v>
      </x:c>
      <x:c r="D8" s="14" t="str">
        <x:v>Executive analytics and scheduled reporting</x:v>
      </x:c>
      <x:c r="E8" s="14" t="str">
        <x:v>US-018, US-021</x:v>
      </x:c>
      <x:c r="F8" s="14" t="n">
        <x:v>34</x:v>
      </x:c>
      <x:c r="G8" s="14" t="n">
        <x:v>13</x:v>
      </x:c>
    </x:row>
    <x:row r="9">
      <x:c r="A9" s="14" t="str">
        <x:v>Sprint 8</x:v>
      </x:c>
      <x:c r="B9" s="14" t="str">
        <x:v>2027-01-18</x:v>
      </x:c>
      <x:c r="C9" s="14" t="str">
        <x:v>2027-01-29</x:v>
      </x:c>
      <x:c r="D9" s="14" t="str">
        <x:v>Privacy, audit and retention controls</x:v>
      </x:c>
      <x:c r="E9" s="14" t="str">
        <x:v>US-022, US-023</x:v>
      </x:c>
      <x:c r="F9" s="14" t="n">
        <x:v>34</x:v>
      </x:c>
      <x:c r="G9" s="14" t="n">
        <x:v>21</x:v>
      </x:c>
    </x:row>
    <x:row r="10">
      <x:c r="A10" s="14" t="str">
        <x:v>Sprint 9</x:v>
      </x:c>
      <x:c r="B10" s="14" t="str">
        <x:v>2027-02-01</x:v>
      </x:c>
      <x:c r="C10" s="14" t="str">
        <x:v>2027-02-12</x:v>
      </x:c>
      <x:c r="D10" s="14" t="str">
        <x:v>Administration, hardening and accessibility</x:v>
      </x:c>
      <x:c r="E10" s="14" t="str">
        <x:v>US-024</x:v>
      </x:c>
      <x:c r="F10" s="14" t="n">
        <x:v>34</x:v>
      </x:c>
      <x:c r="G10" s="14" t="n">
        <x:v>8</x:v>
      </x:c>
    </x:row>
    <x:row r="11">
      <x:c r="A11" s="14" t="str">
        <x:v>Sprint 10</x:v>
      </x:c>
      <x:c r="B11" s="14" t="str">
        <x:v>2027-02-15</x:v>
      </x:c>
      <x:c r="C11" s="14" t="str">
        <x:v>2027-02-26</x:v>
      </x:c>
      <x:c r="D11" s="14" t="str">
        <x:v>End-to-end stabilization and release candidate</x:v>
      </x:c>
      <x:c r="E11" s="14" t="str">
        <x:v>US-003, US-007, US-010, US-012</x:v>
      </x:c>
      <x:c r="F11" s="14" t="n">
        <x:v>34</x:v>
      </x:c>
      <x:c r="G11" s="14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7e46fc2c150d407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36" hidden="0" customWidth="1"/>
  </x:cols>
  <x:sheetData>
    <x:row r="1" ht="32" customHeight="1">
      <x:c r="A1" s="6" t="str">
        <x:v>change_id</x:v>
      </x:c>
      <x:c r="B1" s="6" t="str">
        <x:v>request</x:v>
      </x:c>
      <x:c r="C1" s="6" t="str">
        <x:v>requestor</x:v>
      </x:c>
      <x:c r="D1" s="6" t="str">
        <x:v>impact</x:v>
      </x:c>
      <x:c r="E1" s="6" t="str">
        <x:v>decision</x:v>
      </x:c>
      <x:c r="F1" s="6" t="str">
        <x:v>rationale</x:v>
      </x:c>
    </x:row>
    <x:row r="2">
      <x:c r="A2" s="14" t="str">
        <x:v>CR-001</x:v>
      </x:c>
      <x:c r="B2" s="14" t="str">
        <x:v>Add WhatsApp Business ingestion to MVP</x:v>
      </x:c>
      <x:c r="C2" s="14" t="str">
        <x:v>Sales</x:v>
      </x:c>
      <x:c r="D2" s="14" t="str">
        <x:v>High privacy review, unsupported enterprise archive pattern, +8 weeks</x:v>
      </x:c>
      <x:c r="E2" s="14" t="str">
        <x:v>Rejected / Release TBD</x:v>
      </x:c>
      <x:c r="F2" s="14" t="str">
        <x:v>Not aligned with approved corporate communication channels.</x:v>
      </x:c>
    </x:row>
    <x:row r="3">
      <x:c r="A3" s="14" t="str">
        <x:v>CR-002</x:v>
      </x:c>
      <x:c r="B3" s="14" t="str">
        <x:v>Include employee performance rating based on broken promises</x:v>
      </x:c>
      <x:c r="C3" s="14" t="str">
        <x:v>Operations Leader</x:v>
      </x:c>
      <x:c r="D3" s="14" t="str">
        <x:v>Material HR, legal and ethics risk</x:v>
      </x:c>
      <x:c r="E3" s="14" t="str">
        <x:v>Rejected</x:v>
      </x:c>
      <x:c r="F3" s="14" t="str">
        <x:v>OpenLoop supports workflow accountability, not automated employment decisions.</x:v>
      </x:c>
    </x:row>
    <x:row r="4">
      <x:c r="A4" s="14" t="str">
        <x:v>CR-003</x:v>
      </x:c>
      <x:c r="B4" s="14" t="str">
        <x:v>Add Jira issue creation from confirmed promises</x:v>
      </x:c>
      <x:c r="C4" s="14" t="str">
        <x:v>Engineering</x:v>
      </x:c>
      <x:c r="D4" s="14" t="str">
        <x:v>Moderate scope; 13 story points; useful adoption benefit</x:v>
      </x:c>
      <x:c r="E4" s="14" t="str">
        <x:v>Approved for Release 1.1</x:v>
      </x:c>
      <x:c r="F4" s="14" t="str">
        <x:v>Fits integration strategy after ledger stability.</x:v>
      </x:c>
    </x:row>
    <x:row r="5">
      <x:c r="A5" s="14" t="str">
        <x:v>CR-004</x:v>
      </x:c>
      <x:c r="B5" s="14" t="str">
        <x:v>Increase pilot from 500 to 1,200 users</x:v>
      </x:c>
      <x:c r="C5" s="14" t="str">
        <x:v>Executive Sponsor</x:v>
      </x:c>
      <x:c r="D5" s="14" t="str">
        <x:v>Additional support and capacity testing</x:v>
      </x:c>
      <x:c r="E5" s="14" t="str">
        <x:v>Conditionally Approved</x:v>
      </x:c>
      <x:c r="F5" s="14" t="str">
        <x:v>Proceed if model precision and P95 latency pass entry criteria.</x:v>
      </x:c>
    </x:row>
  </x:sheetData>
  <x:pageMargins left="0.7" right="0.7" top="0.75" bottom="0.75" header="0.3" footer="0.3"/>
  <x:tableParts count="1">
    <x:tablePart xmlns:r="http://schemas.openxmlformats.org/officeDocument/2006/relationships" r:id="R94f086290ae042b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8" hidden="0" customWidth="1"/>
    <x:col min="8" max="8" width="18" hidden="0" customWidth="1"/>
  </x:cols>
  <x:sheetData>
    <x:row r="1" ht="32" customHeight="1">
      <x:c r="A1" s="6" t="str">
        <x:v>defect_id</x:v>
      </x:c>
      <x:c r="B1" s="6" t="str">
        <x:v>summary</x:v>
      </x:c>
      <x:c r="C1" s="6" t="str">
        <x:v>severity</x:v>
      </x:c>
      <x:c r="D1" s="6" t="str">
        <x:v>environment</x:v>
      </x:c>
      <x:c r="E1" s="6" t="str">
        <x:v>linked_test</x:v>
      </x:c>
      <x:c r="F1" s="6" t="str">
        <x:v>status</x:v>
      </x:c>
      <x:c r="G1" s="6" t="str">
        <x:v>root_cause</x:v>
      </x:c>
      <x:c r="H1" s="6" t="str">
        <x:v>resolution</x:v>
      </x:c>
    </x:row>
    <x:row r="2">
      <x:c r="A2" s="14" t="str">
        <x:v>DEF-001</x:v>
      </x:c>
      <x:c r="B2" s="14" t="str">
        <x:v>Relative date 'next Monday' resolves incorrectly near midnight UTC</x:v>
      </x:c>
      <x:c r="C2" s="14" t="str">
        <x:v>High</x:v>
      </x:c>
      <x:c r="D2" s="14" t="str">
        <x:v>SIT</x:v>
      </x:c>
      <x:c r="E2" s="14" t="str">
        <x:v>TC-012</x:v>
      </x:c>
      <x:c r="F2" s="14" t="str">
        <x:v>Fixed</x:v>
      </x:c>
      <x:c r="G2" s="14" t="str">
        <x:v>Locale conversion applied after date parsing</x:v>
      </x:c>
      <x:c r="H2" s="14" t="str">
        <x:v>Apply user time zone before business-date resolution.</x:v>
      </x:c>
    </x:row>
    <x:row r="3">
      <x:c r="A3" s="14" t="str">
        <x:v>DEF-002</x:v>
      </x:c>
      <x:c r="B3" s="14" t="str">
        <x:v>Duplicate reminder sent after notification retry</x:v>
      </x:c>
      <x:c r="C3" s="14" t="str">
        <x:v>Medium</x:v>
      </x:c>
      <x:c r="D3" s="14" t="str">
        <x:v>SIT</x:v>
      </x:c>
      <x:c r="E3" s="14" t="str">
        <x:v>TC-019</x:v>
      </x:c>
      <x:c r="F3" s="14" t="str">
        <x:v>Retest</x:v>
      </x:c>
      <x:c r="G3" s="14" t="str">
        <x:v>Idempotency key omitted channel</x:v>
      </x:c>
      <x:c r="H3" s="14" t="str">
        <x:v>Use promise + policy + window + channel key.</x:v>
      </x:c>
    </x:row>
    <x:row r="4">
      <x:c r="A4" s="14" t="str">
        <x:v>DEF-003</x:v>
      </x:c>
      <x:c r="B4" s="14" t="str">
        <x:v>Manager can see source snippet after source access revoked</x:v>
      </x:c>
      <x:c r="C4" s="14" t="str">
        <x:v>Critical</x:v>
      </x:c>
      <x:c r="D4" s="14" t="str">
        <x:v>Security Test</x:v>
      </x:c>
      <x:c r="E4" s="14" t="str">
        <x:v>TC-027</x:v>
      </x:c>
      <x:c r="F4" s="14" t="str">
        <x:v>Fixed</x:v>
      </x:c>
      <x:c r="G4" s="14" t="str">
        <x:v>Cached evidence bypassed ACL refresh</x:v>
      </x:c>
      <x:c r="H4" s="14" t="str">
        <x:v>Real-time authorization check and cache invalidation.</x:v>
      </x:c>
    </x:row>
    <x:row r="5">
      <x:c r="A5" s="14" t="str">
        <x:v>DEF-004</x:v>
      </x:c>
      <x:c r="B5" s="14" t="str">
        <x:v>Keyboard focus skips confidence explanation tooltip</x:v>
      </x:c>
      <x:c r="C5" s="14" t="str">
        <x:v>Medium</x:v>
      </x:c>
      <x:c r="D5" s="14" t="str">
        <x:v>Accessibility</x:v>
      </x:c>
      <x:c r="E5" s="14" t="str">
        <x:v>NFR-009</x:v>
      </x:c>
      <x:c r="F5" s="14" t="str">
        <x:v>Open</x:v>
      </x:c>
      <x:c r="G5" s="14" t="str">
        <x:v>Non-focusable icon control</x:v>
      </x:c>
      <x:c r="H5" s="14" t="str">
        <x:v>Replace with accessible button and ARIA description.</x:v>
      </x:c>
    </x:row>
    <x:row r="6">
      <x:c r="A6" s="14" t="str">
        <x:v>DEF-005</x:v>
      </x:c>
      <x:c r="B6" s="14" t="str">
        <x:v>Executive trend report excludes reassigned fulfilled promises</x:v>
      </x:c>
      <x:c r="C6" s="14" t="str">
        <x:v>High</x:v>
      </x:c>
      <x:c r="D6" s="14" t="str">
        <x:v>UAT</x:v>
      </x:c>
      <x:c r="E6" s="14" t="str">
        <x:v>TC-024</x:v>
      </x:c>
      <x:c r="F6" s="14" t="str">
        <x:v>Fixed</x:v>
      </x:c>
      <x:c r="G6" s="14" t="str">
        <x:v>Latest owner join used inner join on reassignment history</x:v>
      </x:c>
      <x:c r="H6" s="14" t="str">
        <x:v>Use effective-dated owner bridge and left join.</x:v>
      </x:c>
    </x:row>
  </x:sheetData>
  <x:conditionalFormatting sqref="F2:F6">
    <x:cfRule type="expression" dxfId="5" priority="1">
      <x:formula>F2="Open"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7ae2ed028c043f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4" max="4" width="16" hidden="0" customWidth="1"/>
    <x:col min="5" max="5" width="16" hidden="0" customWidth="1"/>
    <x:col min="6" max="6" width="30" hidden="0" customWidth="1"/>
    <x:col min="3" max="3" width="20" hidden="0" customWidth="1"/>
  </x:cols>
  <x:sheetData>
    <x:row r="1">
      <x:c r="A1" s="27" t="str">
        <x:v>OPENLOOP | Requirements &amp; Delivery Control Center</x:v>
      </x:c>
      <x:c r="B1" s="27"/>
      <x:c r="C1" s="27"/>
      <x:c r="D1" s="27"/>
      <x:c r="E1" s="27"/>
      <x:c r="F1" s="27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4">
      <x:c r="A4" s="23" t="str">
        <x:v>Control Metric</x:v>
      </x:c>
      <x:c r="B4" s="23" t="str">
        <x:v>Value</x:v>
      </x:c>
      <x:c r="D4" s="23" t="str">
        <x:v>Priority</x:v>
      </x:c>
      <x:c r="E4" s="23" t="str">
        <x:v>BR Count</x:v>
      </x:c>
      <x:c r="F4" s="23" t="str">
        <x:v>FR Count</x:v>
      </x:c>
    </x:row>
    <x:row r="5">
      <x:c r="A5" s="26" t="str">
        <x:v>Business Requirements</x:v>
      </x:c>
      <x:c r="B5" s="26" t="n">
        <x:f>COUNTA(Business_Requirements!A2:A100)</x:f>
        <x:v>18</x:v>
      </x:c>
      <x:c r="D5" s="26" t="str">
        <x:v>Must</x:v>
      </x:c>
      <x:c r="E5" s="26" t="n">
        <x:f>COUNTIF(Business_Requirements!D2:D100,"Must")</x:f>
        <x:v>15</x:v>
      </x:c>
      <x:c r="F5" s="26" t="n">
        <x:f>COUNTIF(Functional_Requirements!E2:E100,"Must")</x:f>
        <x:v>25</x:v>
      </x:c>
    </x:row>
    <x:row r="6">
      <x:c r="A6" s="26" t="str">
        <x:v>Functional Requirements</x:v>
      </x:c>
      <x:c r="B6" s="26" t="n">
        <x:f>COUNTA(Functional_Requirements!A2:A100)</x:f>
        <x:v>30</x:v>
      </x:c>
      <x:c r="D6" s="26" t="str">
        <x:v>Should</x:v>
      </x:c>
      <x:c r="E6" s="26" t="n">
        <x:f>COUNTIF(Business_Requirements!D2:D100,"Should")</x:f>
        <x:v>3</x:v>
      </x:c>
      <x:c r="F6" s="26" t="n">
        <x:f>COUNTIF(Functional_Requirements!E2:E100,"Should")</x:f>
        <x:v>5</x:v>
      </x:c>
    </x:row>
    <x:row r="7">
      <x:c r="A7" s="26" t="str">
        <x:v>Nonfunctional Requirements</x:v>
      </x:c>
      <x:c r="B7" s="26" t="n">
        <x:f>COUNTA(Nonfunctional_Reqs!A2:A100)</x:f>
        <x:v>15</x:v>
      </x:c>
      <x:c r="D7" s="26" t="str">
        <x:v>Could</x:v>
      </x:c>
      <x:c r="E7" s="26" t="n">
        <x:f>COUNTIF(Business_Requirements!D2:D100,"Could")</x:f>
        <x:v>0</x:v>
      </x:c>
      <x:c r="F7" s="26" t="n">
        <x:f>COUNTIF(Functional_Requirements!E2:E100,"Could")</x:f>
        <x:v>0</x:v>
      </x:c>
    </x:row>
    <x:row r="8">
      <x:c r="A8" s="26" t="str">
        <x:v>User Stories</x:v>
      </x:c>
      <x:c r="B8" s="26" t="n">
        <x:f>COUNTA(User_Stories!A2:A100)</x:f>
        <x:v>24</x:v>
      </x:c>
      <x:c r="D8" s="26" t="str">
        <x:v>Won't</x:v>
      </x:c>
      <x:c r="E8" s="26" t="n">
        <x:f>COUNTIF(Business_Requirements!D2:D100,"Won't")</x:f>
        <x:v>0</x:v>
      </x:c>
      <x:c r="F8" s="26" t="n">
        <x:f>COUNTIF(Functional_Requirements!E2:E100,"Won't")</x:f>
        <x:v>0</x:v>
      </x:c>
    </x:row>
    <x:row r="9">
      <x:c r="A9" s="26" t="str">
        <x:v>Test Cases</x:v>
      </x:c>
      <x:c r="B9" s="26" t="n">
        <x:f>COUNTA(Test_Cases!A2:A100)</x:f>
        <x:v>30</x:v>
      </x:c>
      <x:c r="D9" s="26" t="str">
        <x:v>Total</x:v>
      </x:c>
      <x:c r="E9" s="26" t="n">
        <x:f>SUM(E5:E8)</x:f>
        <x:v>18</x:v>
      </x:c>
      <x:c r="F9" s="26" t="n">
        <x:f>SUM(F5:F8)</x:f>
        <x:v>30</x:v>
      </x:c>
    </x:row>
    <x:row r="10">
      <x:c r="A10" s="26" t="str">
        <x:v>RTM Rows Traced</x:v>
      </x:c>
      <x:c r="B10" s="26" t="n">
        <x:f>COUNTIF(RTM!H2:H100,"Traced")</x:f>
        <x:v>30</x:v>
      </x:c>
    </x:row>
    <x:row r="11">
      <x:c r="A11" s="26" t="str">
        <x:v>Open RAID Items</x:v>
      </x:c>
      <x:c r="B11" s="26" t="n">
        <x:f>COUNTIF(RAID_Log!F2:F100,"Open")+COUNTIF(RAID_Log!F2:F100,"In Progress")</x:f>
        <x:v>6</x:v>
      </x:c>
    </x:row>
    <x:row r="12">
      <x:c r="A12" s="26" t="str">
        <x:v>Open Defects</x:v>
      </x:c>
      <x:c r="B12" s="26" t="n">
        <x:f>COUNTIF(Defect_Log!E2:E100,"Open")+COUNTIF(Defect_Log!E2:E100,"Retest")</x:f>
        <x:v>0</x:v>
      </x:c>
    </x:row>
    <x:row r="15">
      <x:c r="A15" s="23" t="str">
        <x:v>Governance Gate</x:v>
      </x:c>
      <x:c r="B15" s="23" t="str">
        <x:v>Entry Criteria</x:v>
      </x:c>
      <x:c r="C15" s="23" t="str">
        <x:v>Owner</x:v>
      </x:c>
      <x:c r="D15" s="23" t="str">
        <x:v>Target</x:v>
      </x:c>
      <x:c r="E15" s="23" t="str">
        <x:v>Status</x:v>
      </x:c>
      <x:c r="F15" s="23" t="str">
        <x:v>Evidence</x:v>
      </x:c>
    </x:row>
    <x:row r="16">
      <x:c r="A16" s="26" t="str">
        <x:v>Requirements Baseline</x:v>
      </x:c>
      <x:c r="B16" s="26" t="str">
        <x:v>BRD/FRD approved; RTM complete</x:v>
      </x:c>
      <x:c r="C16" s="26" t="str">
        <x:v>Product Owner</x:v>
      </x:c>
      <x:c r="D16" s="26" t="str">
        <x:v>2026-09-25</x:v>
      </x:c>
      <x:c r="E16" s="26" t="str">
        <x:v>On Track</x:v>
      </x:c>
      <x:c r="F16" s="26" t="str">
        <x:v>BRD, FRD, RTM</x:v>
      </x:c>
    </x:row>
    <x:row r="17">
      <x:c r="A17" s="26" t="str">
        <x:v>Architecture Approval</x:v>
      </x:c>
      <x:c r="B17" s="26" t="str">
        <x:v>Security, privacy and data design approved</x:v>
      </x:c>
      <x:c r="C17" s="26" t="str">
        <x:v>Solution Architect</x:v>
      </x:c>
      <x:c r="D17" s="26" t="str">
        <x:v>2026-10-09</x:v>
      </x:c>
      <x:c r="E17" s="26" t="str">
        <x:v>On Track</x:v>
      </x:c>
      <x:c r="F17" s="26" t="str">
        <x:v>Architecture Decision Records</x:v>
      </x:c>
    </x:row>
    <x:row r="18">
      <x:c r="A18" s="26" t="str">
        <x:v>MVP Code Complete</x:v>
      </x:c>
      <x:c r="B18" s="26" t="str">
        <x:v>Must-have stories complete; Sev-1/2 defects closed</x:v>
      </x:c>
      <x:c r="C18" s="26" t="str">
        <x:v>Engineering Lead</x:v>
      </x:c>
      <x:c r="D18" s="26" t="str">
        <x:v>2026-12-18</x:v>
      </x:c>
      <x:c r="E18" s="26" t="str">
        <x:v>Planned</x:v>
      </x:c>
      <x:c r="F18" s="26" t="str">
        <x:v>Build and CI evidence</x:v>
      </x:c>
    </x:row>
    <x:row r="19">
      <x:c r="A19" s="26" t="str">
        <x:v>UAT Entry</x:v>
      </x:c>
      <x:c r="B19" s="26" t="str">
        <x:v>SIT pass &gt;=95%; performance/security gates met</x:v>
      </x:c>
      <x:c r="C19" s="26" t="str">
        <x:v>QA Lead</x:v>
      </x:c>
      <x:c r="D19" s="26" t="str">
        <x:v>2027-01-18</x:v>
      </x:c>
      <x:c r="E19" s="26" t="str">
        <x:v>Planned</x:v>
      </x:c>
      <x:c r="F19" s="26" t="str">
        <x:v>Test summary</x:v>
      </x:c>
    </x:row>
    <x:row r="20">
      <x:c r="A20" s="26" t="str">
        <x:v>Pilot Entry</x:v>
      </x:c>
      <x:c r="B20" s="26" t="str">
        <x:v>Precision &gt;=0.88; privacy and support sign-off</x:v>
      </x:c>
      <x:c r="C20" s="26" t="str">
        <x:v>Product Owner</x:v>
      </x:c>
      <x:c r="D20" s="26" t="str">
        <x:v>2027-02-08</x:v>
      </x:c>
      <x:c r="E20" s="26" t="str">
        <x:v>Planned</x:v>
      </x:c>
      <x:c r="F20" s="26" t="str">
        <x:v>Model card and readiness checklist</x:v>
      </x:c>
    </x:row>
    <x:row r="21">
      <x:c r="A21" s="26" t="str">
        <x:v>Enterprise Release</x:v>
      </x:c>
      <x:c r="B21" s="26" t="str">
        <x:v>Pilot adoption &gt;=65%; no critical incidents</x:v>
      </x:c>
      <x:c r="C21" s="26" t="str">
        <x:v>Executive Sponsor</x:v>
      </x:c>
      <x:c r="D21" s="26" t="str">
        <x:v>2027-03-15</x:v>
      </x:c>
      <x:c r="E21" s="26" t="str">
        <x:v>Planned</x:v>
      </x:c>
      <x:c r="F21" s="26" t="str">
        <x:v>Value and operational readiness report</x:v>
      </x:c>
    </x:row>
    <x:row r="22">
      <x:c r="A22" s="26" t="str">
        <x:v>Value Review</x:v>
      </x:c>
      <x:c r="B22" s="26" t="str">
        <x:v>Benefits validated with finance</x:v>
      </x:c>
      <x:c r="C22" s="26" t="str">
        <x:v>COO / Finance</x:v>
      </x:c>
      <x:c r="D22" s="26" t="str">
        <x:v>2027-06-30</x:v>
      </x:c>
      <x:c r="E22" s="26" t="str">
        <x:v>Planned</x:v>
      </x:c>
      <x:c r="F22" s="26" t="str">
        <x:v>Benefits realization report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39fca43619e3429d"/>
</x:worksheet>
</file>