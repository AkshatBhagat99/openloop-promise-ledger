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12972dedd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1" r:id="Rb14285fad9da4f47"/>
    <x:sheet xmlns:r="http://schemas.openxmlformats.org/officeDocument/2006/relationships" name="Employees" sheetId="2" r:id="R48b8d289c2c74261"/>
    <x:sheet xmlns:r="http://schemas.openxmlformats.org/officeDocument/2006/relationships" name="Sources" sheetId="3" r:id="R25ff740647dc42df"/>
    <x:sheet xmlns:r="http://schemas.openxmlformats.org/officeDocument/2006/relationships" name="Conversations" sheetId="4" r:id="Rf8fa511819ee461e"/>
    <x:sheet xmlns:r="http://schemas.openxmlformats.org/officeDocument/2006/relationships" name="Messages" sheetId="5" r:id="Rddaf2ee8286743d0"/>
    <x:sheet xmlns:r="http://schemas.openxmlformats.org/officeDocument/2006/relationships" name="Promises" sheetId="6" r:id="Rcdae3fee524341a2"/>
    <x:sheet xmlns:r="http://schemas.openxmlformats.org/officeDocument/2006/relationships" name="Promise_History" sheetId="7" r:id="R6eda9410a1d34b1c"/>
    <x:sheet xmlns:r="http://schemas.openxmlformats.org/officeDocument/2006/relationships" name="Notifications" sheetId="8" r:id="Rd357ee4b36d54b32"/>
    <x:sheet xmlns:r="http://schemas.openxmlformats.org/officeDocument/2006/relationships" name="SLA_Reference" sheetId="9" r:id="R9666ae85715440e9"/>
    <x:sheet xmlns:r="http://schemas.openxmlformats.org/officeDocument/2006/relationships" name="Calendar" sheetId="10" r:id="R1b14b6e914bd4206"/>
    <x:sheet xmlns:r="http://schemas.openxmlformats.org/officeDocument/2006/relationships" name="KPI_Dashboard" sheetId="11" r:id="R2f56201c0b39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171e95bf84c1e" /><Relationship Type="http://schemas.openxmlformats.org/officeDocument/2006/relationships/theme" Target="/xl/theme/theme1.xml" Id="R6282f8bec5f04734" /><Relationship Type="http://schemas.openxmlformats.org/officeDocument/2006/relationships/sharedStrings" Target="/xl/sharedStrings.xml" Id="R8190cc1a420f436f" /><Relationship Type="http://schemas.openxmlformats.org/officeDocument/2006/relationships/worksheet" Target="/xl/worksheets/sheet1.xml" Id="Rb14285fad9da4f47" /><Relationship Type="http://schemas.openxmlformats.org/officeDocument/2006/relationships/worksheet" Target="/xl/worksheets/sheet2.xml" Id="R48b8d289c2c74261" /><Relationship Type="http://schemas.openxmlformats.org/officeDocument/2006/relationships/worksheet" Target="/xl/worksheets/sheet3.xml" Id="R25ff740647dc42df" /><Relationship Type="http://schemas.openxmlformats.org/officeDocument/2006/relationships/worksheet" Target="/xl/worksheets/sheet4.xml" Id="Rf8fa511819ee461e" /><Relationship Type="http://schemas.openxmlformats.org/officeDocument/2006/relationships/worksheet" Target="/xl/worksheets/sheet5.xml" Id="Rddaf2ee8286743d0" /><Relationship Type="http://schemas.openxmlformats.org/officeDocument/2006/relationships/worksheet" Target="/xl/worksheets/sheet6.xml" Id="Rcdae3fee524341a2" /><Relationship Type="http://schemas.openxmlformats.org/officeDocument/2006/relationships/worksheet" Target="/xl/worksheets/sheet7.xml" Id="R6eda9410a1d34b1c" /><Relationship Type="http://schemas.openxmlformats.org/officeDocument/2006/relationships/worksheet" Target="/xl/worksheets/sheet8.xml" Id="Rd357ee4b36d54b32" /><Relationship Type="http://schemas.openxmlformats.org/officeDocument/2006/relationships/worksheet" Target="/xl/worksheets/sheet9.xml" Id="R9666ae85715440e9" /><Relationship Type="http://schemas.openxmlformats.org/officeDocument/2006/relationships/worksheet" Target="/xl/worksheets/sheet10.xml" Id="R1b14b6e914bd4206" /><Relationship Type="http://schemas.openxmlformats.org/officeDocument/2006/relationships/worksheet" Target="/xl/worksheets/sheet11.xml" Id="R2f56201c0b3942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5375049f3546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Commitments by Current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'KPI_Dashboard'!$D$5:$D$11</c:f>
              <c:strCache>
                <c:ptCount val="0"/>
              </c:strCache>
            </c:strRef>
          </c:cat>
          <c:val>
            <c:numRef>
              <c:f>'KPI_Dashboard'!$E$5:$E$11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375049f3546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artmentsTable" displayName="DepartmentsTable" ref="A1:E9" headerRowCount="1">
  <x:tableColumns count="5">
    <x:tableColumn id="1" name="department_id"/>
    <x:tableColumn id="2" name="department_name"/>
    <x:tableColumn id="3" name="business_unit"/>
    <x:tableColumn id="4" name="cost_center"/>
    <x:tableColumn id="5" name="sla_hour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sTable" displayName="EmployeesTable" ref="A1:I41" headerRowCount="1">
  <x:tableColumns count="9">
    <x:tableColumn id="1" name="employee_id"/>
    <x:tableColumn id="2" name="employee_name"/>
    <x:tableColumn id="3" name="email"/>
    <x:tableColumn id="4" name="department_id"/>
    <x:tableColumn id="5" name="job_title"/>
    <x:tableColumn id="6" name="management_level"/>
    <x:tableColumn id="7" name="region"/>
    <x:tableColumn id="8" name="employment_status"/>
    <x:tableColumn id="9" name="manager_employee_id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E8" headerRowCount="1">
  <x:tableColumns count="5">
    <x:tableColumn id="1" name="source_id"/>
    <x:tableColumn id="2" name="source_name"/>
    <x:tableColumn id="3" name="source_type"/>
    <x:tableColumn id="4" name="integration_mode"/>
    <x:tableColumn id="5" name="retention_days"/>
  </x:tableColumns>
  <x:tableStyleInfo name="TableStyleMedium2" showRowStripes="1"/>
</x:table>
</file>

<file path=xl/tables/table4.xml><?xml version="1.0" encoding="utf-8"?>
<x:table xmlns:x="http://schemas.openxmlformats.org/spreadsheetml/2006/main" id="4" name="ConversationsTable" displayName="ConversationsTable" ref="A1:K61" headerRowCount="1">
  <x:tableColumns count="11">
    <x:tableColumn id="1" name="conversation_id"/>
    <x:tableColumn id="2" name="source_id"/>
    <x:tableColumn id="3" name="external_thread_id"/>
    <x:tableColumn id="4" name="conversation_title"/>
    <x:tableColumn id="5" name="channel_or_mailbox"/>
    <x:tableColumn id="6" name="project_name"/>
    <x:tableColumn id="7" name="department_id"/>
    <x:tableColumn id="8" name="conversation_start_ts"/>
    <x:tableColumn id="9" name="last_activity_ts"/>
    <x:tableColumn id="10" name="conversation_status"/>
    <x:tableColumn id="11" name="sensitivity_label"/>
  </x:tableColumns>
  <x:tableStyleInfo name="TableStyleMedium2" showRowStripes="1"/>
</x:table>
</file>

<file path=xl/tables/table5.xml><?xml version="1.0" encoding="utf-8"?>
<x:table xmlns:x="http://schemas.openxmlformats.org/spreadsheetml/2006/main" id="5" name="MessagesTable" displayName="MessagesTable" ref="A1:I181" headerRowCount="1">
  <x:tableColumns count="9">
    <x:tableColumn id="1" name="message_id"/>
    <x:tableColumn id="2" name="conversation_id"/>
    <x:tableColumn id="3" name="sender_employee_id"/>
    <x:tableColumn id="4" name="message_ts"/>
    <x:tableColumn id="5" name="message_text"/>
    <x:tableColumn id="6" name="message_language"/>
    <x:tableColumn id="7" name="has_attachment"/>
    <x:tableColumn id="8" name="ingestion_ts"/>
    <x:tableColumn id="9" name="content_hash"/>
  </x:tableColumns>
  <x:tableStyleInfo name="TableStyleMedium2" showRowStripes="1"/>
</x:table>
</file>

<file path=xl/tables/table6.xml><?xml version="1.0" encoding="utf-8"?>
<x:table xmlns:x="http://schemas.openxmlformats.org/spreadsheetml/2006/main" id="6" name="PromisesTable" displayName="PromisesTable" ref="A1:Q121" headerRowCount="1">
  <x:tableColumns count="17">
    <x:tableColumn id="1" name="promise_id"/>
    <x:tableColumn id="2" name="message_id"/>
    <x:tableColumn id="3" name="conversation_id"/>
    <x:tableColumn id="4" name="promise_text"/>
    <x:tableColumn id="5" name="promise_type"/>
    <x:tableColumn id="6" name="owner_employee_id"/>
    <x:tableColumn id="7" name="owner_department_id"/>
    <x:tableColumn id="8" name="created_ts"/>
    <x:tableColumn id="9" name="due_ts"/>
    <x:tableColumn id="10" name="completed_ts"/>
    <x:tableColumn id="11" name="current_status"/>
    <x:tableColumn id="12" name="priority"/>
    <x:tableColumn id="13" name="ai_confidence_score"/>
    <x:tableColumn id="14" name="risk_score"/>
    <x:tableColumn id="15" name="sla_hours"/>
    <x:tableColumn id="16" name="is_human_confirmed"/>
    <x:tableColumn id="17" name="duplicate_group_id"/>
  </x:tableColumns>
  <x:tableStyleInfo name="TableStyleMedium2" showRowStripes="1"/>
</x:table>
</file>

<file path=xl/tables/table7.xml><?xml version="1.0" encoding="utf-8"?>
<x:table xmlns:x="http://schemas.openxmlformats.org/spreadsheetml/2006/main" id="7" name="PromiseHistoryTable" displayName="PromiseHistoryTable" ref="A1:G305" headerRowCount="1">
  <x:tableColumns count="7">
    <x:tableColumn id="1" name="history_id"/>
    <x:tableColumn id="2" name="promise_id"/>
    <x:tableColumn id="3" name="event_ts"/>
    <x:tableColumn id="4" name="from_status"/>
    <x:tableColumn id="5" name="to_status"/>
    <x:tableColumn id="6" name="changed_by_employee_id"/>
    <x:tableColumn id="7" name="change_reason"/>
  </x:tableColumns>
  <x:tableStyleInfo name="TableStyleMedium2" showRowStripes="1"/>
</x:table>
</file>

<file path=xl/tables/table8.xml><?xml version="1.0" encoding="utf-8"?>
<x:table xmlns:x="http://schemas.openxmlformats.org/spreadsheetml/2006/main" id="8" name="NotificationsTable" displayName="NotificationsTable" ref="A1:I81" headerRowCount="1">
  <x:tableColumns count="9">
    <x:tableColumn id="1" name="notification_id"/>
    <x:tableColumn id="2" name="promise_id"/>
    <x:tableColumn id="3" name="recipient_employee_id"/>
    <x:tableColumn id="4" name="notification_type"/>
    <x:tableColumn id="5" name="channel"/>
    <x:tableColumn id="6" name="scheduled_ts"/>
    <x:tableColumn id="7" name="sent_ts"/>
    <x:tableColumn id="8" name="delivery_status"/>
    <x:tableColumn id="9" name="action_taken"/>
  </x:tableColumns>
  <x:tableStyleInfo name="TableStyleMedium2" showRowStripes="1"/>
</x:table>
</file>

<file path=xl/tables/table9.xml><?xml version="1.0" encoding="utf-8"?>
<x:table xmlns:x="http://schemas.openxmlformats.org/spreadsheetml/2006/main" id="9" name="SLAReferenceTable" displayName="SLAReferenceTable" ref="A1:D5" headerRowCount="1">
  <x:tableColumns count="4">
    <x:tableColumn id="1" name="priority"/>
    <x:tableColumn id="2" name="target_hours"/>
    <x:tableColumn id="3" name="warning_hours"/>
    <x:tableColumn id="4" name="escalation_level"/>
  </x:tableColumns>
  <x:tableStyleInfo name="TableStyleMedium2" showRowStripes="1"/>
</x:table>
</file>

<file path=xl/tables/table10.xml><?xml version="1.0" encoding="utf-8"?>
<x:table xmlns:x="http://schemas.openxmlformats.org/spreadsheetml/2006/main" id="10" name="CalendarTable" displayName="CalendarTable" ref="A1:I366" headerRowCount="1">
  <x:tableColumns count="9">
    <x:tableColumn id="1" name="date_key"/>
    <x:tableColumn id="2" name="calendar_date"/>
    <x:tableColumn id="3" name="day_name"/>
    <x:tableColumn id="4" name="week_of_year"/>
    <x:tableColumn id="5" name="month_name"/>
    <x:tableColumn id="6" name="month_number"/>
    <x:tableColumn id="7" name="quarter"/>
    <x:tableColumn id="8" name="year"/>
    <x:tableColumn id="9" name="is_business_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7533522f79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716c3f111a40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0545e8490448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4c5096374a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ee8fbfd88a40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5a3ac9a897f44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6ff9002a250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bd6ff3ebc504e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edc10114294c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c8b492528d048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59a05f2bb7457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6" t="str">
        <x:v>department_id</x:v>
      </x:c>
      <x:c r="B1" s="6" t="str">
        <x:v>department_name</x:v>
      </x:c>
      <x:c r="C1" s="6" t="str">
        <x:v>business_unit</x:v>
      </x:c>
      <x:c r="D1" s="6" t="str">
        <x:v>cost_center</x:v>
      </x:c>
      <x:c r="E1" s="6" t="str">
        <x:v>sla_hours</x:v>
      </x:c>
    </x:row>
    <x:row r="2">
      <x:c r="A2" s="14" t="str">
        <x:v>D001</x:v>
      </x:c>
      <x:c r="B2" s="14" t="str">
        <x:v>Product</x:v>
      </x:c>
      <x:c r="C2" s="14" t="str">
        <x:v>Digital Platforms</x:v>
      </x:c>
      <x:c r="D2" s="14" t="str">
        <x:v>CC-110</x:v>
      </x:c>
      <x:c r="E2" s="14" t="n">
        <x:v>72</x:v>
      </x:c>
    </x:row>
    <x:row r="3">
      <x:c r="A3" s="14" t="str">
        <x:v>D002</x:v>
      </x:c>
      <x:c r="B3" s="14" t="str">
        <x:v>Engineering</x:v>
      </x:c>
      <x:c r="C3" s="14" t="str">
        <x:v>Technology</x:v>
      </x:c>
      <x:c r="D3" s="14" t="str">
        <x:v>CC-120</x:v>
      </x:c>
      <x:c r="E3" s="14" t="n">
        <x:v>96</x:v>
      </x:c>
    </x:row>
    <x:row r="4">
      <x:c r="A4" s="14" t="str">
        <x:v>D003</x:v>
      </x:c>
      <x:c r="B4" s="14" t="str">
        <x:v>Sales</x:v>
      </x:c>
      <x:c r="C4" s="14" t="str">
        <x:v>Commercial</x:v>
      </x:c>
      <x:c r="D4" s="14" t="str">
        <x:v>CC-130</x:v>
      </x:c>
      <x:c r="E4" s="14" t="n">
        <x:v>48</x:v>
      </x:c>
    </x:row>
    <x:row r="5">
      <x:c r="A5" s="14" t="str">
        <x:v>D004</x:v>
      </x:c>
      <x:c r="B5" s="14" t="str">
        <x:v>Customer Success</x:v>
      </x:c>
      <x:c r="C5" s="14" t="str">
        <x:v>Commercial</x:v>
      </x:c>
      <x:c r="D5" s="14" t="str">
        <x:v>CC-140</x:v>
      </x:c>
      <x:c r="E5" s="14" t="n">
        <x:v>48</x:v>
      </x:c>
    </x:row>
    <x:row r="6">
      <x:c r="A6" s="14" t="str">
        <x:v>D005</x:v>
      </x:c>
      <x:c r="B6" s="14" t="str">
        <x:v>Legal</x:v>
      </x:c>
      <x:c r="C6" s="14" t="str">
        <x:v>Corporate</x:v>
      </x:c>
      <x:c r="D6" s="14" t="str">
        <x:v>CC-150</x:v>
      </x:c>
      <x:c r="E6" s="14" t="n">
        <x:v>120</x:v>
      </x:c>
    </x:row>
    <x:row r="7">
      <x:c r="A7" s="14" t="str">
        <x:v>D006</x:v>
      </x:c>
      <x:c r="B7" s="14" t="str">
        <x:v>Finance</x:v>
      </x:c>
      <x:c r="C7" s="14" t="str">
        <x:v>Corporate</x:v>
      </x:c>
      <x:c r="D7" s="14" t="str">
        <x:v>CC-160</x:v>
      </x:c>
      <x:c r="E7" s="14" t="n">
        <x:v>72</x:v>
      </x:c>
    </x:row>
    <x:row r="8">
      <x:c r="A8" s="14" t="str">
        <x:v>D007</x:v>
      </x:c>
      <x:c r="B8" s="14" t="str">
        <x:v>Human Resources</x:v>
      </x:c>
      <x:c r="C8" s="14" t="str">
        <x:v>People</x:v>
      </x:c>
      <x:c r="D8" s="14" t="str">
        <x:v>CC-170</x:v>
      </x:c>
      <x:c r="E8" s="14" t="n">
        <x:v>96</x:v>
      </x:c>
    </x:row>
    <x:row r="9">
      <x:c r="A9" s="14" t="str">
        <x:v>D008</x:v>
      </x:c>
      <x:c r="B9" s="14" t="str">
        <x:v>Operations</x:v>
      </x:c>
      <x:c r="C9" s="14" t="str">
        <x:v>Enterprise Operations</x:v>
      </x:c>
      <x:c r="D9" s="14" t="str">
        <x:v>CC-180</x:v>
      </x:c>
      <x:c r="E9" s="14" t="n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ee7533522f794d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15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</x:cols>
  <x:sheetData>
    <x:row r="1" ht="28" customHeight="1">
      <x:c r="A1" s="6" t="str">
        <x:v>employee_id</x:v>
      </x:c>
      <x:c r="B1" s="6" t="str">
        <x:v>employee_name</x:v>
      </x:c>
      <x:c r="C1" s="6" t="str">
        <x:v>email</x:v>
      </x:c>
      <x:c r="D1" s="6" t="str">
        <x:v>department_id</x:v>
      </x:c>
      <x:c r="E1" s="6" t="str">
        <x:v>job_title</x:v>
      </x:c>
      <x:c r="F1" s="6" t="str">
        <x:v>management_level</x:v>
      </x:c>
      <x:c r="G1" s="6" t="str">
        <x:v>region</x:v>
      </x:c>
      <x:c r="H1" s="6" t="str">
        <x:v>employment_status</x:v>
      </x:c>
      <x:c r="I1" s="6" t="str">
        <x:v>manager_employee_id</x:v>
      </x:c>
    </x:row>
    <x:row r="2">
      <x:c r="A2" s="14" t="str">
        <x:v>E001</x:v>
      </x:c>
      <x:c r="B2" s="14" t="str">
        <x:v>Aarav Shah</x:v>
      </x:c>
      <x:c r="C2" s="14" t="str">
        <x:v>aarav.shah@northstar.example</x:v>
      </x:c>
      <x:c r="D2" s="14" t="str">
        <x:v>D001</x:v>
      </x:c>
      <x:c r="E2" s="14" t="str">
        <x:v>Product Manager</x:v>
      </x:c>
      <x:c r="F2" s="14" t="str">
        <x:v>Individual Contributor</x:v>
      </x:c>
      <x:c r="G2" s="14" t="str">
        <x:v>North America</x:v>
      </x:c>
      <x:c r="H2" s="14" t="str">
        <x:v>Active</x:v>
      </x:c>
      <x:c r="I2" s="14"/>
    </x:row>
    <x:row r="3">
      <x:c r="A3" s="14" t="str">
        <x:v>E002</x:v>
      </x:c>
      <x:c r="B3" s="14" t="str">
        <x:v>Maya Chen</x:v>
      </x:c>
      <x:c r="C3" s="14" t="str">
        <x:v>maya.chen@northstar.example</x:v>
      </x:c>
      <x:c r="D3" s="14" t="str">
        <x:v>D002</x:v>
      </x:c>
      <x:c r="E3" s="14" t="str">
        <x:v>Senior Software Engineer</x:v>
      </x:c>
      <x:c r="F3" s="14" t="str">
        <x:v>Individual Contributor</x:v>
      </x:c>
      <x:c r="G3" s="14" t="str">
        <x:v>North America</x:v>
      </x:c>
      <x:c r="H3" s="14" t="str">
        <x:v>Active</x:v>
      </x:c>
      <x:c r="I3" s="14" t="str">
        <x:v>E010</x:v>
      </x:c>
    </x:row>
    <x:row r="4">
      <x:c r="A4" s="14" t="str">
        <x:v>E003</x:v>
      </x:c>
      <x:c r="B4" s="14" t="str">
        <x:v>Ethan Williams</x:v>
      </x:c>
      <x:c r="C4" s="14" t="str">
        <x:v>ethan.williams@northstar.example</x:v>
      </x:c>
      <x:c r="D4" s="14" t="str">
        <x:v>D003</x:v>
      </x:c>
      <x:c r="E4" s="14" t="str">
        <x:v>Sales Operations Analyst</x:v>
      </x:c>
      <x:c r="F4" s="14" t="str">
        <x:v>Manager</x:v>
      </x:c>
      <x:c r="G4" s="14" t="str">
        <x:v>EMEA</x:v>
      </x:c>
      <x:c r="H4" s="14" t="str">
        <x:v>Active</x:v>
      </x:c>
      <x:c r="I4" s="14" t="str">
        <x:v>E019</x:v>
      </x:c>
    </x:row>
    <x:row r="5">
      <x:c r="A5" s="14" t="str">
        <x:v>E004</x:v>
      </x:c>
      <x:c r="B5" s="14" t="str">
        <x:v>Sophia Patel</x:v>
      </x:c>
      <x:c r="C5" s="14" t="str">
        <x:v>sophia.patel@northstar.example</x:v>
      </x:c>
      <x:c r="D5" s="14" t="str">
        <x:v>D004</x:v>
      </x:c>
      <x:c r="E5" s="14" t="str">
        <x:v>Customer Operations Lead</x:v>
      </x:c>
      <x:c r="F5" s="14" t="str">
        <x:v>Individual Contributor</x:v>
      </x:c>
      <x:c r="G5" s="14" t="str">
        <x:v>APAC</x:v>
      </x:c>
      <x:c r="H5" s="14" t="str">
        <x:v>Active</x:v>
      </x:c>
      <x:c r="I5" s="14"/>
    </x:row>
    <x:row r="6">
      <x:c r="A6" s="14" t="str">
        <x:v>E005</x:v>
      </x:c>
      <x:c r="B6" s="14" t="str">
        <x:v>Noah Brown</x:v>
      </x:c>
      <x:c r="C6" s="14" t="str">
        <x:v>noah.brown@northstar.example</x:v>
      </x:c>
      <x:c r="D6" s="14" t="str">
        <x:v>D005</x:v>
      </x:c>
      <x:c r="E6" s="14" t="str">
        <x:v>Compliance Analyst</x:v>
      </x:c>
      <x:c r="F6" s="14" t="str">
        <x:v>Senior Manager</x:v>
      </x:c>
      <x:c r="G6" s="14" t="str">
        <x:v>North America</x:v>
      </x:c>
      <x:c r="H6" s="14" t="str">
        <x:v>Active</x:v>
      </x:c>
      <x:c r="I6" s="14" t="str">
        <x:v>E013</x:v>
      </x:c>
    </x:row>
    <x:row r="7">
      <x:c r="A7" s="14" t="str">
        <x:v>E006</x:v>
      </x:c>
      <x:c r="B7" s="14" t="str">
        <x:v>Olivia Garcia</x:v>
      </x:c>
      <x:c r="C7" s="14" t="str">
        <x:v>olivia.garcia@northstar.example</x:v>
      </x:c>
      <x:c r="D7" s="14" t="str">
        <x:v>D006</x:v>
      </x:c>
      <x:c r="E7" s="14" t="str">
        <x:v>Financial Analyst</x:v>
      </x:c>
      <x:c r="F7" s="14" t="str">
        <x:v>Individual Contributor</x:v>
      </x:c>
      <x:c r="G7" s="14" t="str">
        <x:v>North America</x:v>
      </x:c>
      <x:c r="H7" s="14" t="str">
        <x:v>Active</x:v>
      </x:c>
      <x:c r="I7" s="14" t="str">
        <x:v>E014</x:v>
      </x:c>
    </x:row>
    <x:row r="8">
      <x:c r="A8" s="14" t="str">
        <x:v>E007</x:v>
      </x:c>
      <x:c r="B8" s="14" t="str">
        <x:v>Liam Kim</x:v>
      </x:c>
      <x:c r="C8" s="14" t="str">
        <x:v>liam.kim@northstar.example</x:v>
      </x:c>
      <x:c r="D8" s="14" t="str">
        <x:v>D007</x:v>
      </x:c>
      <x:c r="E8" s="14" t="str">
        <x:v>Talent Operations Analyst</x:v>
      </x:c>
      <x:c r="F8" s="14" t="str">
        <x:v>Individual Contributor</x:v>
      </x:c>
      <x:c r="G8" s="14" t="str">
        <x:v>EMEA</x:v>
      </x:c>
      <x:c r="H8" s="14" t="str">
        <x:v>Active</x:v>
      </x:c>
      <x:c r="I8" s="14" t="str">
        <x:v>E015</x:v>
      </x:c>
    </x:row>
    <x:row r="9">
      <x:c r="A9" s="14" t="str">
        <x:v>E008</x:v>
      </x:c>
      <x:c r="B9" s="14" t="str">
        <x:v>Ava Davis</x:v>
      </x:c>
      <x:c r="C9" s="14" t="str">
        <x:v>ava.davis@northstar.example</x:v>
      </x:c>
      <x:c r="D9" s="14" t="str">
        <x:v>D008</x:v>
      </x:c>
      <x:c r="E9" s="14" t="str">
        <x:v>Program Manager</x:v>
      </x:c>
      <x:c r="F9" s="14" t="str">
        <x:v>Manager</x:v>
      </x:c>
      <x:c r="G9" s="14" t="str">
        <x:v>APAC</x:v>
      </x:c>
      <x:c r="H9" s="14" t="str">
        <x:v>Active</x:v>
      </x:c>
      <x:c r="I9" s="14"/>
    </x:row>
    <x:row r="10">
      <x:c r="A10" s="14" t="str">
        <x:v>E009</x:v>
      </x:c>
      <x:c r="B10" s="14" t="str">
        <x:v>Lucas Singh</x:v>
      </x:c>
      <x:c r="C10" s="14" t="str">
        <x:v>lucas.singh@northstar.example</x:v>
      </x:c>
      <x:c r="D10" s="14" t="str">
        <x:v>D001</x:v>
      </x:c>
      <x:c r="E10" s="14" t="str">
        <x:v>UX Researcher</x:v>
      </x:c>
      <x:c r="F10" s="14" t="str">
        <x:v>Individual Contributor</x:v>
      </x:c>
      <x:c r="G10" s="14" t="str">
        <x:v>North America</x:v>
      </x:c>
      <x:c r="H10" s="14" t="str">
        <x:v>Active</x:v>
      </x:c>
      <x:c r="I10" s="14" t="str">
        <x:v>E001</x:v>
      </x:c>
    </x:row>
    <x:row r="11">
      <x:c r="A11" s="14" t="str">
        <x:v>E010</x:v>
      </x:c>
      <x:c r="B11" s="14" t="str">
        <x:v>Isabella Martinez</x:v>
      </x:c>
      <x:c r="C11" s="14" t="str">
        <x:v>isabella.martinez@northstar.example</x:v>
      </x:c>
      <x:c r="D11" s="14" t="str">
        <x:v>D002</x:v>
      </x:c>
      <x:c r="E11" s="14" t="str">
        <x:v>Solution Architect</x:v>
      </x:c>
      <x:c r="F11" s="14" t="str">
        <x:v>Senior Manager</x:v>
      </x:c>
      <x:c r="G11" s="14" t="str">
        <x:v>North America</x:v>
      </x:c>
      <x:c r="H11" s="14" t="str">
        <x:v>Active</x:v>
      </x:c>
      <x:c r="I11" s="14"/>
    </x:row>
    <x:row r="12">
      <x:c r="A12" s="14" t="str">
        <x:v>E011</x:v>
      </x:c>
      <x:c r="B12" s="14" t="str">
        <x:v>Arjun Wilson</x:v>
      </x:c>
      <x:c r="C12" s="14" t="str">
        <x:v>arjun.wilson@northstar.example</x:v>
      </x:c>
      <x:c r="D12" s="14" t="str">
        <x:v>D003</x:v>
      </x:c>
      <x:c r="E12" s="14" t="str">
        <x:v>Account Executive</x:v>
      </x:c>
      <x:c r="F12" s="14" t="str">
        <x:v>Individual Contributor</x:v>
      </x:c>
      <x:c r="G12" s="14" t="str">
        <x:v>EMEA</x:v>
      </x:c>
      <x:c r="H12" s="14" t="str">
        <x:v>Active</x:v>
      </x:c>
      <x:c r="I12" s="14" t="str">
        <x:v>E019</x:v>
      </x:c>
    </x:row>
    <x:row r="13">
      <x:c r="A13" s="14" t="str">
        <x:v>E012</x:v>
      </x:c>
      <x:c r="B13" s="14" t="str">
        <x:v>Nina Nguyen</x:v>
      </x:c>
      <x:c r="C13" s="14" t="str">
        <x:v>nina.nguyen@northstar.example</x:v>
      </x:c>
      <x:c r="D13" s="14" t="str">
        <x:v>D004</x:v>
      </x:c>
      <x:c r="E13" s="14" t="str">
        <x:v>Implementation Manager</x:v>
      </x:c>
      <x:c r="F13" s="14" t="str">
        <x:v>Individual Contributor</x:v>
      </x:c>
      <x:c r="G13" s="14" t="str">
        <x:v>APAC</x:v>
      </x:c>
      <x:c r="H13" s="14" t="str">
        <x:v>Active</x:v>
      </x:c>
      <x:c r="I13" s="14" t="str">
        <x:v>E004</x:v>
      </x:c>
    </x:row>
    <x:row r="14">
      <x:c r="A14" s="14" t="str">
        <x:v>E013</x:v>
      </x:c>
      <x:c r="B14" s="14" t="str">
        <x:v>Daniel Thomas</x:v>
      </x:c>
      <x:c r="C14" s="14" t="str">
        <x:v>daniel.thomas@northstar.example</x:v>
      </x:c>
      <x:c r="D14" s="14" t="str">
        <x:v>D005</x:v>
      </x:c>
      <x:c r="E14" s="14" t="str">
        <x:v>Privacy Counsel</x:v>
      </x:c>
      <x:c r="F14" s="14" t="str">
        <x:v>Manager</x:v>
      </x:c>
      <x:c r="G14" s="14" t="str">
        <x:v>North America</x:v>
      </x:c>
      <x:c r="H14" s="14" t="str">
        <x:v>Active</x:v>
      </x:c>
      <x:c r="I14" s="14"/>
    </x:row>
    <x:row r="15">
      <x:c r="A15" s="14" t="str">
        <x:v>E014</x:v>
      </x:c>
      <x:c r="B15" s="14" t="str">
        <x:v>Grace Anderson</x:v>
      </x:c>
      <x:c r="C15" s="14" t="str">
        <x:v>grace.anderson@northstar.example</x:v>
      </x:c>
      <x:c r="D15" s="14" t="str">
        <x:v>D006</x:v>
      </x:c>
      <x:c r="E15" s="14" t="str">
        <x:v>Controller</x:v>
      </x:c>
      <x:c r="F15" s="14" t="str">
        <x:v>Individual Contributor</x:v>
      </x:c>
      <x:c r="G15" s="14" t="str">
        <x:v>North America</x:v>
      </x:c>
      <x:c r="H15" s="14" t="str">
        <x:v>Active</x:v>
      </x:c>
      <x:c r="I15" s="14"/>
    </x:row>
    <x:row r="16">
      <x:c r="A16" s="14" t="str">
        <x:v>E015</x:v>
      </x:c>
      <x:c r="B16" s="14" t="str">
        <x:v>Henry Taylor</x:v>
      </x:c>
      <x:c r="C16" s="14" t="str">
        <x:v>henry.taylor@northstar.example</x:v>
      </x:c>
      <x:c r="D16" s="14" t="str">
        <x:v>D007</x:v>
      </x:c>
      <x:c r="E16" s="14" t="str">
        <x:v>Learning Program Manager</x:v>
      </x:c>
      <x:c r="F16" s="14" t="str">
        <x:v>Senior Manager</x:v>
      </x:c>
      <x:c r="G16" s="14" t="str">
        <x:v>EMEA</x:v>
      </x:c>
      <x:c r="H16" s="14" t="str">
        <x:v>Active</x:v>
      </x:c>
      <x:c r="I16" s="14"/>
    </x:row>
    <x:row r="17">
      <x:c r="A17" s="14" t="str">
        <x:v>E016</x:v>
      </x:c>
      <x:c r="B17" s="14" t="str">
        <x:v>Zoe Moore</x:v>
      </x:c>
      <x:c r="C17" s="14" t="str">
        <x:v>zoe.moore@northstar.example</x:v>
      </x:c>
      <x:c r="D17" s="14" t="str">
        <x:v>D008</x:v>
      </x:c>
      <x:c r="E17" s="14" t="str">
        <x:v>Operations Manager</x:v>
      </x:c>
      <x:c r="F17" s="14" t="str">
        <x:v>Individual Contributor</x:v>
      </x:c>
      <x:c r="G17" s="14" t="str">
        <x:v>APAC</x:v>
      </x:c>
      <x:c r="H17" s="14" t="str">
        <x:v>Active</x:v>
      </x:c>
      <x:c r="I17" s="14" t="str">
        <x:v>E008</x:v>
      </x:c>
    </x:row>
    <x:row r="18">
      <x:c r="A18" s="14" t="str">
        <x:v>E017</x:v>
      </x:c>
      <x:c r="B18" s="14" t="str">
        <x:v>Owen Jackson</x:v>
      </x:c>
      <x:c r="C18" s="14" t="str">
        <x:v>owen.jackson@northstar.example</x:v>
      </x:c>
      <x:c r="D18" s="14" t="str">
        <x:v>D001</x:v>
      </x:c>
      <x:c r="E18" s="14" t="str">
        <x:v>Senior Product Manager</x:v>
      </x:c>
      <x:c r="F18" s="14" t="str">
        <x:v>Individual Contributor</x:v>
      </x:c>
      <x:c r="G18" s="14" t="str">
        <x:v>North America</x:v>
      </x:c>
      <x:c r="H18" s="14" t="str">
        <x:v>Active</x:v>
      </x:c>
      <x:c r="I18" s="14" t="str">
        <x:v>E001</x:v>
      </x:c>
    </x:row>
    <x:row r="19">
      <x:c r="A19" s="14" t="str">
        <x:v>E018</x:v>
      </x:c>
      <x:c r="B19" s="14" t="str">
        <x:v>Layla Lee</x:v>
      </x:c>
      <x:c r="C19" s="14" t="str">
        <x:v>layla.lee@northstar.example</x:v>
      </x:c>
      <x:c r="D19" s="14" t="str">
        <x:v>D002</x:v>
      </x:c>
      <x:c r="E19" s="14" t="str">
        <x:v>Engineering Manager</x:v>
      </x:c>
      <x:c r="F19" s="14" t="str">
        <x:v>Manager</x:v>
      </x:c>
      <x:c r="G19" s="14" t="str">
        <x:v>North America</x:v>
      </x:c>
      <x:c r="H19" s="14" t="str">
        <x:v>Active</x:v>
      </x:c>
      <x:c r="I19" s="14" t="str">
        <x:v>E010</x:v>
      </x:c>
    </x:row>
    <x:row r="20">
      <x:c r="A20" s="14" t="str">
        <x:v>E019</x:v>
      </x:c>
      <x:c r="B20" s="14" t="str">
        <x:v>Mateo Harris</x:v>
      </x:c>
      <x:c r="C20" s="14" t="str">
        <x:v>mateo.harris@northstar.example</x:v>
      </x:c>
      <x:c r="D20" s="14" t="str">
        <x:v>D003</x:v>
      </x:c>
      <x:c r="E20" s="14" t="str">
        <x:v>Business Development Manager</x:v>
      </x:c>
      <x:c r="F20" s="14" t="str">
        <x:v>Individual Contributor</x:v>
      </x:c>
      <x:c r="G20" s="14" t="str">
        <x:v>EMEA</x:v>
      </x:c>
      <x:c r="H20" s="14" t="str">
        <x:v>Active</x:v>
      </x:c>
      <x:c r="I20" s="14"/>
    </x:row>
    <x:row r="21">
      <x:c r="A21" s="14" t="str">
        <x:v>E020</x:v>
      </x:c>
      <x:c r="B21" s="14" t="str">
        <x:v>Chloe Clark</x:v>
      </x:c>
      <x:c r="C21" s="14" t="str">
        <x:v>chloe.clark@northstar.example</x:v>
      </x:c>
      <x:c r="D21" s="14" t="str">
        <x:v>D004</x:v>
      </x:c>
      <x:c r="E21" s="14" t="str">
        <x:v>Renewals Manager</x:v>
      </x:c>
      <x:c r="F21" s="14" t="str">
        <x:v>Senior Manager</x:v>
      </x:c>
      <x:c r="G21" s="14" t="str">
        <x:v>APAC</x:v>
      </x:c>
      <x:c r="H21" s="14" t="str">
        <x:v>Active</x:v>
      </x:c>
      <x:c r="I21" s="14" t="str">
        <x:v>E004</x:v>
      </x:c>
    </x:row>
    <x:row r="22">
      <x:c r="A22" s="14" t="str">
        <x:v>E021</x:v>
      </x:c>
      <x:c r="B22" s="14" t="str">
        <x:v>Ryan Lewis</x:v>
      </x:c>
      <x:c r="C22" s="14" t="str">
        <x:v>ryan.lewis@northstar.example</x:v>
      </x:c>
      <x:c r="D22" s="14" t="str">
        <x:v>D005</x:v>
      </x:c>
      <x:c r="E22" s="14" t="str">
        <x:v>Corporate Counsel</x:v>
      </x:c>
      <x:c r="F22" s="14" t="str">
        <x:v>Individual Contributor</x:v>
      </x:c>
      <x:c r="G22" s="14" t="str">
        <x:v>North America</x:v>
      </x:c>
      <x:c r="H22" s="14" t="str">
        <x:v>Active</x:v>
      </x:c>
      <x:c r="I22" s="14" t="str">
        <x:v>E013</x:v>
      </x:c>
    </x:row>
    <x:row r="23">
      <x:c r="A23" s="14" t="str">
        <x:v>E022</x:v>
      </x:c>
      <x:c r="B23" s="14" t="str">
        <x:v>Emma Young</x:v>
      </x:c>
      <x:c r="C23" s="14" t="str">
        <x:v>emma.young@northstar.example</x:v>
      </x:c>
      <x:c r="D23" s="14" t="str">
        <x:v>D006</x:v>
      </x:c>
      <x:c r="E23" s="14" t="str">
        <x:v>Finance Manager</x:v>
      </x:c>
      <x:c r="F23" s="14" t="str">
        <x:v>Individual Contributor</x:v>
      </x:c>
      <x:c r="G23" s="14" t="str">
        <x:v>North America</x:v>
      </x:c>
      <x:c r="H23" s="14" t="str">
        <x:v>Active</x:v>
      </x:c>
      <x:c r="I23" s="14" t="str">
        <x:v>E014</x:v>
      </x:c>
    </x:row>
    <x:row r="24">
      <x:c r="A24" s="14" t="str">
        <x:v>E023</x:v>
      </x:c>
      <x:c r="B24" s="14" t="str">
        <x:v>Leo Walker</x:v>
      </x:c>
      <x:c r="C24" s="14" t="str">
        <x:v>leo.walker@northstar.example</x:v>
      </x:c>
      <x:c r="D24" s="14" t="str">
        <x:v>D007</x:v>
      </x:c>
      <x:c r="E24" s="14" t="str">
        <x:v>Recruiter</x:v>
      </x:c>
      <x:c r="F24" s="14" t="str">
        <x:v>Manager</x:v>
      </x:c>
      <x:c r="G24" s="14" t="str">
        <x:v>EMEA</x:v>
      </x:c>
      <x:c r="H24" s="14" t="str">
        <x:v>Active</x:v>
      </x:c>
      <x:c r="I24" s="14" t="str">
        <x:v>E015</x:v>
      </x:c>
    </x:row>
    <x:row r="25">
      <x:c r="A25" s="14" t="str">
        <x:v>E024</x:v>
      </x:c>
      <x:c r="B25" s="14" t="str">
        <x:v>Amelia Hall</x:v>
      </x:c>
      <x:c r="C25" s="14" t="str">
        <x:v>amelia.hall@northstar.example</x:v>
      </x:c>
      <x:c r="D25" s="14" t="str">
        <x:v>D008</x:v>
      </x:c>
      <x:c r="E25" s="14" t="str">
        <x:v>Process Excellence Lead</x:v>
      </x:c>
      <x:c r="F25" s="14" t="str">
        <x:v>Individual Contributor</x:v>
      </x:c>
      <x:c r="G25" s="14" t="str">
        <x:v>APAC</x:v>
      </x:c>
      <x:c r="H25" s="14" t="str">
        <x:v>Active</x:v>
      </x:c>
      <x:c r="I25" s="14" t="str">
        <x:v>E008</x:v>
      </x:c>
    </x:row>
    <x:row r="26">
      <x:c r="A26" s="14" t="str">
        <x:v>E025</x:v>
      </x:c>
      <x:c r="B26" s="14" t="str">
        <x:v>Jay Allen</x:v>
      </x:c>
      <x:c r="C26" s="14" t="str">
        <x:v>jay.allen@northstar.example</x:v>
      </x:c>
      <x:c r="D26" s="14" t="str">
        <x:v>D001</x:v>
      </x:c>
      <x:c r="E26" s="14" t="str">
        <x:v>Product Operations Analyst</x:v>
      </x:c>
      <x:c r="F26" s="14" t="str">
        <x:v>Senior Manager</x:v>
      </x:c>
      <x:c r="G26" s="14" t="str">
        <x:v>North America</x:v>
      </x:c>
      <x:c r="H26" s="14" t="str">
        <x:v>Active</x:v>
      </x:c>
      <x:c r="I26" s="14" t="str">
        <x:v>E001</x:v>
      </x:c>
    </x:row>
    <x:row r="27">
      <x:c r="A27" s="14" t="str">
        <x:v>E026</x:v>
      </x:c>
      <x:c r="B27" s="14" t="str">
        <x:v>Priya King</x:v>
      </x:c>
      <x:c r="C27" s="14" t="str">
        <x:v>priya.king@northstar.example</x:v>
      </x:c>
      <x:c r="D27" s="14" t="str">
        <x:v>D002</x:v>
      </x:c>
      <x:c r="E27" s="14" t="str">
        <x:v>Software Engineer</x:v>
      </x:c>
      <x:c r="F27" s="14" t="str">
        <x:v>Individual Contributor</x:v>
      </x:c>
      <x:c r="G27" s="14" t="str">
        <x:v>North America</x:v>
      </x:c>
      <x:c r="H27" s="14" t="str">
        <x:v>Active</x:v>
      </x:c>
      <x:c r="I27" s="14" t="str">
        <x:v>E010</x:v>
      </x:c>
    </x:row>
    <x:row r="28">
      <x:c r="A28" s="14" t="str">
        <x:v>E027</x:v>
      </x:c>
      <x:c r="B28" s="14" t="str">
        <x:v>Carlos Wright</x:v>
      </x:c>
      <x:c r="C28" s="14" t="str">
        <x:v>carlos.wright@northstar.example</x:v>
      </x:c>
      <x:c r="D28" s="14" t="str">
        <x:v>D003</x:v>
      </x:c>
      <x:c r="E28" s="14" t="str">
        <x:v>Sales Manager</x:v>
      </x:c>
      <x:c r="F28" s="14" t="str">
        <x:v>Individual Contributor</x:v>
      </x:c>
      <x:c r="G28" s="14" t="str">
        <x:v>EMEA</x:v>
      </x:c>
      <x:c r="H28" s="14" t="str">
        <x:v>Active</x:v>
      </x:c>
      <x:c r="I28" s="14" t="str">
        <x:v>E019</x:v>
      </x:c>
    </x:row>
    <x:row r="29">
      <x:c r="A29" s="14" t="str">
        <x:v>E028</x:v>
      </x:c>
      <x:c r="B29" s="14" t="str">
        <x:v>Elena Scott</x:v>
      </x:c>
      <x:c r="C29" s="14" t="str">
        <x:v>elena.scott@northstar.example</x:v>
      </x:c>
      <x:c r="D29" s="14" t="str">
        <x:v>D004</x:v>
      </x:c>
      <x:c r="E29" s="14" t="str">
        <x:v>Support Analyst</x:v>
      </x:c>
      <x:c r="F29" s="14" t="str">
        <x:v>Manager</x:v>
      </x:c>
      <x:c r="G29" s="14" t="str">
        <x:v>APAC</x:v>
      </x:c>
      <x:c r="H29" s="14" t="str">
        <x:v>Active</x:v>
      </x:c>
      <x:c r="I29" s="14" t="str">
        <x:v>E004</x:v>
      </x:c>
    </x:row>
    <x:row r="30">
      <x:c r="A30" s="14" t="str">
        <x:v>E029</x:v>
      </x:c>
      <x:c r="B30" s="14" t="str">
        <x:v>Sam Green</x:v>
      </x:c>
      <x:c r="C30" s="14" t="str">
        <x:v>sam.green@northstar.example</x:v>
      </x:c>
      <x:c r="D30" s="14" t="str">
        <x:v>D005</x:v>
      </x:c>
      <x:c r="E30" s="14" t="str">
        <x:v>Contract Manager</x:v>
      </x:c>
      <x:c r="F30" s="14" t="str">
        <x:v>Individual Contributor</x:v>
      </x:c>
      <x:c r="G30" s="14" t="str">
        <x:v>North America</x:v>
      </x:c>
      <x:c r="H30" s="14" t="str">
        <x:v>Active</x:v>
      </x:c>
      <x:c r="I30" s="14" t="str">
        <x:v>E013</x:v>
      </x:c>
    </x:row>
    <x:row r="31">
      <x:c r="A31" s="14" t="str">
        <x:v>E030</x:v>
      </x:c>
      <x:c r="B31" s="14" t="str">
        <x:v>Riya Baker</x:v>
      </x:c>
      <x:c r="C31" s="14" t="str">
        <x:v>riya.baker@northstar.example</x:v>
      </x:c>
      <x:c r="D31" s="14" t="str">
        <x:v>D006</x:v>
      </x:c>
      <x:c r="E31" s="14" t="str">
        <x:v>Procurement Analyst</x:v>
      </x:c>
      <x:c r="F31" s="14" t="str">
        <x:v>Senior Manager</x:v>
      </x:c>
      <x:c r="G31" s="14" t="str">
        <x:v>North America</x:v>
      </x:c>
      <x:c r="H31" s="14" t="str">
        <x:v>Active</x:v>
      </x:c>
      <x:c r="I31" s="14" t="str">
        <x:v>E014</x:v>
      </x:c>
    </x:row>
    <x:row r="32">
      <x:c r="A32" s="14" t="str">
        <x:v>E031</x:v>
      </x:c>
      <x:c r="B32" s="14" t="str">
        <x:v>Ben Adams</x:v>
      </x:c>
      <x:c r="C32" s="14" t="str">
        <x:v>ben.adams@northstar.example</x:v>
      </x:c>
      <x:c r="D32" s="14" t="str">
        <x:v>D007</x:v>
      </x:c>
      <x:c r="E32" s="14" t="str">
        <x:v>HR Business Partner</x:v>
      </x:c>
      <x:c r="F32" s="14" t="str">
        <x:v>Individual Contributor</x:v>
      </x:c>
      <x:c r="G32" s="14" t="str">
        <x:v>EMEA</x:v>
      </x:c>
      <x:c r="H32" s="14" t="str">
        <x:v>Active</x:v>
      </x:c>
      <x:c r="I32" s="14" t="str">
        <x:v>E015</x:v>
      </x:c>
    </x:row>
    <x:row r="33">
      <x:c r="A33" s="14" t="str">
        <x:v>E032</x:v>
      </x:c>
      <x:c r="B33" s="14" t="str">
        <x:v>Natalie Nelson</x:v>
      </x:c>
      <x:c r="C33" s="14" t="str">
        <x:v>natalie.nelson@northstar.example</x:v>
      </x:c>
      <x:c r="D33" s="14" t="str">
        <x:v>D008</x:v>
      </x:c>
      <x:c r="E33" s="14" t="str">
        <x:v>Business Analyst</x:v>
      </x:c>
      <x:c r="F33" s="14" t="str">
        <x:v>Individual Contributor</x:v>
      </x:c>
      <x:c r="G33" s="14" t="str">
        <x:v>APAC</x:v>
      </x:c>
      <x:c r="H33" s="14" t="str">
        <x:v>Active</x:v>
      </x:c>
      <x:c r="I33" s="14" t="str">
        <x:v>E008</x:v>
      </x:c>
    </x:row>
    <x:row r="34">
      <x:c r="A34" s="14" t="str">
        <x:v>E033</x:v>
      </x:c>
      <x:c r="B34" s="14" t="str">
        <x:v>Victor Carter</x:v>
      </x:c>
      <x:c r="C34" s="14" t="str">
        <x:v>victor.carter@northstar.example</x:v>
      </x:c>
      <x:c r="D34" s="14" t="str">
        <x:v>D001</x:v>
      </x:c>
      <x:c r="E34" s="14" t="str">
        <x:v>Product Analyst</x:v>
      </x:c>
      <x:c r="F34" s="14" t="str">
        <x:v>Manager</x:v>
      </x:c>
      <x:c r="G34" s="14" t="str">
        <x:v>North America</x:v>
      </x:c>
      <x:c r="H34" s="14" t="str">
        <x:v>Active</x:v>
      </x:c>
      <x:c r="I34" s="14" t="str">
        <x:v>E001</x:v>
      </x:c>
    </x:row>
    <x:row r="35">
      <x:c r="A35" s="14" t="str">
        <x:v>E034</x:v>
      </x:c>
      <x:c r="B35" s="14" t="str">
        <x:v>Hannah Mitchell</x:v>
      </x:c>
      <x:c r="C35" s="14" t="str">
        <x:v>hannah.mitchell@northstar.example</x:v>
      </x:c>
      <x:c r="D35" s="14" t="str">
        <x:v>D002</x:v>
      </x:c>
      <x:c r="E35" s="14" t="str">
        <x:v>QA Engineer</x:v>
      </x:c>
      <x:c r="F35" s="14" t="str">
        <x:v>Individual Contributor</x:v>
      </x:c>
      <x:c r="G35" s="14" t="str">
        <x:v>North America</x:v>
      </x:c>
      <x:c r="H35" s="14" t="str">
        <x:v>Active</x:v>
      </x:c>
      <x:c r="I35" s="14" t="str">
        <x:v>E010</x:v>
      </x:c>
    </x:row>
    <x:row r="36">
      <x:c r="A36" s="14" t="str">
        <x:v>E035</x:v>
      </x:c>
      <x:c r="B36" s="14" t="str">
        <x:v>Adrian Perez</x:v>
      </x:c>
      <x:c r="C36" s="14" t="str">
        <x:v>adrian.perez@northstar.example</x:v>
      </x:c>
      <x:c r="D36" s="14" t="str">
        <x:v>D003</x:v>
      </x:c>
      <x:c r="E36" s="14" t="str">
        <x:v>Solutions Consultant</x:v>
      </x:c>
      <x:c r="F36" s="14" t="str">
        <x:v>Senior Manager</x:v>
      </x:c>
      <x:c r="G36" s="14" t="str">
        <x:v>EMEA</x:v>
      </x:c>
      <x:c r="H36" s="14" t="str">
        <x:v>Active</x:v>
      </x:c>
      <x:c r="I36" s="14" t="str">
        <x:v>E019</x:v>
      </x:c>
    </x:row>
    <x:row r="37">
      <x:c r="A37" s="14" t="str">
        <x:v>E036</x:v>
      </x:c>
      <x:c r="B37" s="14" t="str">
        <x:v>Meera Roberts</x:v>
      </x:c>
      <x:c r="C37" s="14" t="str">
        <x:v>meera.roberts@northstar.example</x:v>
      </x:c>
      <x:c r="D37" s="14" t="str">
        <x:v>D004</x:v>
      </x:c>
      <x:c r="E37" s="14" t="str">
        <x:v>Customer Success Manager</x:v>
      </x:c>
      <x:c r="F37" s="14" t="str">
        <x:v>Individual Contributor</x:v>
      </x:c>
      <x:c r="G37" s="14" t="str">
        <x:v>APAC</x:v>
      </x:c>
      <x:c r="H37" s="14" t="str">
        <x:v>Active</x:v>
      </x:c>
      <x:c r="I37" s="14" t="str">
        <x:v>E004</x:v>
      </x:c>
    </x:row>
    <x:row r="38">
      <x:c r="A38" s="14" t="str">
        <x:v>E037</x:v>
      </x:c>
      <x:c r="B38" s="14" t="str">
        <x:v>Kevin Turner</x:v>
      </x:c>
      <x:c r="C38" s="14" t="str">
        <x:v>kevin.turner@northstar.example</x:v>
      </x:c>
      <x:c r="D38" s="14" t="str">
        <x:v>D005</x:v>
      </x:c>
      <x:c r="E38" s="14" t="str">
        <x:v>Legal Operations Analyst</x:v>
      </x:c>
      <x:c r="F38" s="14" t="str">
        <x:v>Individual Contributor</x:v>
      </x:c>
      <x:c r="G38" s="14" t="str">
        <x:v>North America</x:v>
      </x:c>
      <x:c r="H38" s="14" t="str">
        <x:v>Active</x:v>
      </x:c>
      <x:c r="I38" s="14" t="str">
        <x:v>E013</x:v>
      </x:c>
    </x:row>
    <x:row r="39">
      <x:c r="A39" s="14" t="str">
        <x:v>E038</x:v>
      </x:c>
      <x:c r="B39" s="14" t="str">
        <x:v>Julia Phillips</x:v>
      </x:c>
      <x:c r="C39" s="14" t="str">
        <x:v>julia.phillips@northstar.example</x:v>
      </x:c>
      <x:c r="D39" s="14" t="str">
        <x:v>D006</x:v>
      </x:c>
      <x:c r="E39" s="14" t="str">
        <x:v>FP&amp;A Analyst</x:v>
      </x:c>
      <x:c r="F39" s="14" t="str">
        <x:v>Manager</x:v>
      </x:c>
      <x:c r="G39" s="14" t="str">
        <x:v>North America</x:v>
      </x:c>
      <x:c r="H39" s="14" t="str">
        <x:v>Active</x:v>
      </x:c>
      <x:c r="I39" s="14" t="str">
        <x:v>E014</x:v>
      </x:c>
    </x:row>
    <x:row r="40">
      <x:c r="A40" s="14" t="str">
        <x:v>E039</x:v>
      </x:c>
      <x:c r="B40" s="14" t="str">
        <x:v>Marcus Campbell</x:v>
      </x:c>
      <x:c r="C40" s="14" t="str">
        <x:v>marcus.campbell@northstar.example</x:v>
      </x:c>
      <x:c r="D40" s="14" t="str">
        <x:v>D007</x:v>
      </x:c>
      <x:c r="E40" s="14" t="str">
        <x:v>People Analytics Manager</x:v>
      </x:c>
      <x:c r="F40" s="14" t="str">
        <x:v>Individual Contributor</x:v>
      </x:c>
      <x:c r="G40" s="14" t="str">
        <x:v>EMEA</x:v>
      </x:c>
      <x:c r="H40" s="14" t="str">
        <x:v>Active</x:v>
      </x:c>
      <x:c r="I40" s="14" t="str">
        <x:v>E015</x:v>
      </x:c>
    </x:row>
    <x:row r="41">
      <x:c r="A41" s="14" t="str">
        <x:v>E040</x:v>
      </x:c>
      <x:c r="B41" s="14" t="str">
        <x:v>Sara Parker</x:v>
      </x:c>
      <x:c r="C41" s="14" t="str">
        <x:v>sara.parker@northstar.example</x:v>
      </x:c>
      <x:c r="D41" s="14" t="str">
        <x:v>D008</x:v>
      </x:c>
      <x:c r="E41" s="14" t="str">
        <x:v>Vendor Manager</x:v>
      </x:c>
      <x:c r="F41" s="14" t="str">
        <x:v>Senior Manager</x:v>
      </x:c>
      <x:c r="G41" s="14" t="str">
        <x:v>APAC</x:v>
      </x:c>
      <x:c r="H41" s="14" t="str">
        <x:v>Active</x:v>
      </x:c>
      <x:c r="I41" s="14" t="str">
        <x:v>E008</x:v>
      </x:c>
    </x:row>
  </x:sheetData>
  <x:pageMargins left="0.7" right="0.7" top="0.75" bottom="0.75" header="0.3" footer="0.3"/>
  <x:tableParts count="1">
    <x:tablePart xmlns:r="http://schemas.openxmlformats.org/officeDocument/2006/relationships" r:id="R33716c3f111a40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28" hidden="0" customWidth="1"/>
    <x:col min="5" max="5" width="16" hidden="0" customWidth="1"/>
  </x:cols>
  <x:sheetData>
    <x:row r="1" ht="28" customHeight="1">
      <x:c r="A1" s="6" t="str">
        <x:v>source_id</x:v>
      </x:c>
      <x:c r="B1" s="6" t="str">
        <x:v>source_name</x:v>
      </x:c>
      <x:c r="C1" s="6" t="str">
        <x:v>source_type</x:v>
      </x:c>
      <x:c r="D1" s="6" t="str">
        <x:v>integration_mode</x:v>
      </x:c>
      <x:c r="E1" s="6" t="str">
        <x:v>retention_days</x:v>
      </x:c>
    </x:row>
    <x:row r="2">
      <x:c r="A2" s="14" t="str">
        <x:v>S001</x:v>
      </x:c>
      <x:c r="B2" s="14" t="str">
        <x:v>Slack</x:v>
      </x:c>
      <x:c r="C2" s="14" t="str">
        <x:v>Chat</x:v>
      </x:c>
      <x:c r="D2" s="14" t="str">
        <x:v>OAuth + Events API</x:v>
      </x:c>
      <x:c r="E2" s="14" t="n">
        <x:v>365</x:v>
      </x:c>
    </x:row>
    <x:row r="3">
      <x:c r="A3" s="14" t="str">
        <x:v>S002</x:v>
      </x:c>
      <x:c r="B3" s="14" t="str">
        <x:v>Microsoft Teams</x:v>
      </x:c>
      <x:c r="C3" s="14" t="str">
        <x:v>Chat</x:v>
      </x:c>
      <x:c r="D3" s="14" t="str">
        <x:v>Microsoft Graph</x:v>
      </x:c>
      <x:c r="E3" s="14" t="n">
        <x:v>365</x:v>
      </x:c>
    </x:row>
    <x:row r="4">
      <x:c r="A4" s="14" t="str">
        <x:v>S003</x:v>
      </x:c>
      <x:c r="B4" s="14" t="str">
        <x:v>Gmail</x:v>
      </x:c>
      <x:c r="C4" s="14" t="str">
        <x:v>Email</x:v>
      </x:c>
      <x:c r="D4" s="14" t="str">
        <x:v>Gmail API</x:v>
      </x:c>
      <x:c r="E4" s="14" t="n">
        <x:v>730</x:v>
      </x:c>
    </x:row>
    <x:row r="5">
      <x:c r="A5" s="14" t="str">
        <x:v>S004</x:v>
      </x:c>
      <x:c r="B5" s="14" t="str">
        <x:v>Zoom</x:v>
      </x:c>
      <x:c r="C5" s="14" t="str">
        <x:v>Meeting Transcript</x:v>
      </x:c>
      <x:c r="D5" s="14" t="str">
        <x:v>Zoom Webhooks</x:v>
      </x:c>
      <x:c r="E5" s="14" t="n">
        <x:v>365</x:v>
      </x:c>
    </x:row>
    <x:row r="6">
      <x:c r="A6" s="14" t="str">
        <x:v>S005</x:v>
      </x:c>
      <x:c r="B6" s="14" t="str">
        <x:v>Jira</x:v>
      </x:c>
      <x:c r="C6" s="14" t="str">
        <x:v>Work Management</x:v>
      </x:c>
      <x:c r="D6" s="14" t="str">
        <x:v>REST API</x:v>
      </x:c>
      <x:c r="E6" s="14" t="n">
        <x:v>1095</x:v>
      </x:c>
    </x:row>
    <x:row r="7">
      <x:c r="A7" s="14" t="str">
        <x:v>S006</x:v>
      </x:c>
      <x:c r="B7" s="14" t="str">
        <x:v>Salesforce</x:v>
      </x:c>
      <x:c r="C7" s="14" t="str">
        <x:v>CRM Notes</x:v>
      </x:c>
      <x:c r="D7" s="14" t="str">
        <x:v>Bulk + Streaming API</x:v>
      </x:c>
      <x:c r="E7" s="14" t="n">
        <x:v>1095</x:v>
      </x:c>
    </x:row>
    <x:row r="8">
      <x:c r="A8" s="14" t="str">
        <x:v>S007</x:v>
      </x:c>
      <x:c r="B8" s="14" t="str">
        <x:v>ServiceNow</x:v>
      </x:c>
      <x:c r="C8" s="14" t="str">
        <x:v>Support Ticket</x:v>
      </x:c>
      <x:c r="D8" s="14" t="str">
        <x:v>REST + Webhooks</x:v>
      </x:c>
      <x:c r="E8" s="14" t="n">
        <x:v>1095</x:v>
      </x:c>
    </x:row>
  </x:sheetData>
  <x:pageMargins left="0.7" right="0.7" top="0.75" bottom="0.75" header="0.3" footer="0.3"/>
  <x:tableParts count="1">
    <x:tablePart xmlns:r="http://schemas.openxmlformats.org/officeDocument/2006/relationships" r:id="Rc80545e8490448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28" hidden="0" customWidth="1"/>
    <x:col min="6" max="6" width="28" hidden="0" customWidth="1"/>
    <x:col min="7" max="7" width="15" hidden="0" customWidth="1"/>
    <x:col min="8" max="8" width="19" hidden="0" customWidth="1"/>
    <x:col min="9" max="9" width="19" hidden="0" customWidth="1"/>
    <x:col min="10" max="10" width="16" hidden="0" customWidth="1"/>
    <x:col min="11" max="11" width="16" hidden="0" customWidth="1"/>
  </x:cols>
  <x:sheetData>
    <x:row r="1" ht="28" customHeight="1">
      <x:c r="A1" s="6" t="str">
        <x:v>conversation_id</x:v>
      </x:c>
      <x:c r="B1" s="6" t="str">
        <x:v>source_id</x:v>
      </x:c>
      <x:c r="C1" s="6" t="str">
        <x:v>external_thread_id</x:v>
      </x:c>
      <x:c r="D1" s="6" t="str">
        <x:v>conversation_title</x:v>
      </x:c>
      <x:c r="E1" s="6" t="str">
        <x:v>channel_or_mailbox</x:v>
      </x:c>
      <x:c r="F1" s="6" t="str">
        <x:v>project_name</x:v>
      </x:c>
      <x:c r="G1" s="6" t="str">
        <x:v>department_id</x:v>
      </x:c>
      <x:c r="H1" s="6" t="str">
        <x:v>conversation_start_ts</x:v>
      </x:c>
      <x:c r="I1" s="6" t="str">
        <x:v>last_activity_ts</x:v>
      </x:c>
      <x:c r="J1" s="6" t="str">
        <x:v>conversation_status</x:v>
      </x:c>
      <x:c r="K1" s="6" t="str">
        <x:v>sensitivity_label</x:v>
      </x:c>
    </x:row>
    <x:row r="2">
      <x:c r="A2" s="14" t="str">
        <x:v>C0001</x:v>
      </x:c>
      <x:c r="B2" s="14" t="str">
        <x:v>S001</x:v>
      </x:c>
      <x:c r="C2" s="14" t="str">
        <x:v>SLA-20260001</x:v>
      </x:c>
      <x:c r="D2" s="14" t="str">
        <x:v>Release readiness sync - Orion Release 4.2</x:v>
      </x:c>
      <x:c r="E2" s="14" t="str">
        <x:v>#product-delivery</x:v>
      </x:c>
      <x:c r="F2" s="14" t="str">
        <x:v>Orion Release 4.2</x:v>
      </x:c>
      <x:c r="G2" s="14" t="str">
        <x:v>D001</x:v>
      </x:c>
      <x:c r="H2" s="16" t="str">
        <x:v>2026-01-05 09:00:00</x:v>
      </x:c>
      <x:c r="I2" s="16" t="str">
        <x:v>2026-01-05 18:00:00</x:v>
      </x:c>
      <x:c r="J2" s="14" t="str">
        <x:v>Resolved</x:v>
      </x:c>
      <x:c r="K2" s="14" t="str">
        <x:v>Confidential</x:v>
      </x:c>
    </x:row>
    <x:row r="3">
      <x:c r="A3" s="14" t="str">
        <x:v>C0002</x:v>
      </x:c>
      <x:c r="B3" s="14" t="str">
        <x:v>S002</x:v>
      </x:c>
      <x:c r="C3" s="14" t="str">
        <x:v>MIC-20260002</x:v>
      </x:c>
      <x:c r="D3" s="14" t="str">
        <x:v>Customer escalation review - Customer 360 Migration</x:v>
      </x:c>
      <x:c r="E3" s="14" t="str">
        <x:v>#eng-release</x:v>
      </x:c>
      <x:c r="F3" s="14" t="str">
        <x:v>Customer 360 Migration</x:v>
      </x:c>
      <x:c r="G3" s="14" t="str">
        <x:v>D004</x:v>
      </x:c>
      <x:c r="H3" s="16" t="str">
        <x:v>2026-01-07 10:00:00</x:v>
      </x:c>
      <x:c r="I3" s="16" t="str">
        <x:v>2026-01-09 00:00:00</x:v>
      </x:c>
      <x:c r="J3" s="14" t="str">
        <x:v>Open</x:v>
      </x:c>
      <x:c r="K3" s="14" t="str">
        <x:v>Confidential</x:v>
      </x:c>
    </x:row>
    <x:row r="4">
      <x:c r="A4" s="14" t="str">
        <x:v>C0003</x:v>
      </x:c>
      <x:c r="B4" s="14" t="str">
        <x:v>S003</x:v>
      </x:c>
      <x:c r="C4" s="14" t="str">
        <x:v>GMA-20260003</x:v>
      </x:c>
      <x:c r="D4" s="14" t="str">
        <x:v>Contract approval follow-up - Q3 Pricing Refresh</x:v>
      </x:c>
      <x:c r="E4" s="14" t="str">
        <x:v>Gmail</x:v>
      </x:c>
      <x:c r="F4" s="14" t="str">
        <x:v>Q3 Pricing Refresh</x:v>
      </x:c>
      <x:c r="G4" s="14" t="str">
        <x:v>D007</x:v>
      </x:c>
      <x:c r="H4" s="16" t="str">
        <x:v>2026-01-09 11:00:00</x:v>
      </x:c>
      <x:c r="I4" s="16" t="str">
        <x:v>2026-01-19 02:00:00</x:v>
      </x:c>
      <x:c r="J4" s="14" t="str">
        <x:v>Resolved</x:v>
      </x:c>
      <x:c r="K4" s="14" t="str">
        <x:v>Internal</x:v>
      </x:c>
    </x:row>
    <x:row r="5">
      <x:c r="A5" s="14" t="str">
        <x:v>C0004</x:v>
      </x:c>
      <x:c r="B5" s="14" t="str">
        <x:v>S004</x:v>
      </x:c>
      <x:c r="C5" s="14" t="str">
        <x:v>ZOO-20260004</x:v>
      </x:c>
      <x:c r="D5" s="14" t="str">
        <x:v>Weekly product triage - Atlas Data Quality</x:v>
      </x:c>
      <x:c r="E5" s="14" t="str">
        <x:v>Zoom</x:v>
      </x:c>
      <x:c r="F5" s="14" t="str">
        <x:v>Atlas Data Quality</x:v>
      </x:c>
      <x:c r="G5" s="14" t="str">
        <x:v>D002</x:v>
      </x:c>
      <x:c r="H5" s="16" t="str">
        <x:v>2026-01-11 12:00:00</x:v>
      </x:c>
      <x:c r="I5" s="16" t="str">
        <x:v>2026-01-11 23:00:00</x:v>
      </x:c>
      <x:c r="J5" s="14" t="str">
        <x:v>Resolved</x:v>
      </x:c>
      <x:c r="K5" s="14" t="str">
        <x:v>Internal</x:v>
      </x:c>
    </x:row>
    <x:row r="6">
      <x:c r="A6" s="14" t="str">
        <x:v>C0005</x:v>
      </x:c>
      <x:c r="B6" s="14" t="str">
        <x:v>S005</x:v>
      </x:c>
      <x:c r="C6" s="14" t="str">
        <x:v>JIR-20260005</x:v>
      </x:c>
      <x:c r="D6" s="14" t="str">
        <x:v>Data pipeline incident - Nova Mobile Launch</x:v>
      </x:c>
      <x:c r="E6" s="14" t="str">
        <x:v>Jira</x:v>
      </x:c>
      <x:c r="F6" s="14" t="str">
        <x:v>Nova Mobile Launch</x:v>
      </x:c>
      <x:c r="G6" s="14" t="str">
        <x:v>D005</x:v>
      </x:c>
      <x:c r="H6" s="16" t="str">
        <x:v>2026-01-13 13:00:00</x:v>
      </x:c>
      <x:c r="I6" s="16" t="str">
        <x:v>2026-01-19 01:00:00</x:v>
      </x:c>
      <x:c r="J6" s="14" t="str">
        <x:v>Open</x:v>
      </x:c>
      <x:c r="K6" s="14" t="str">
        <x:v>Internal</x:v>
      </x:c>
    </x:row>
    <x:row r="7">
      <x:c r="A7" s="14" t="str">
        <x:v>C0006</x:v>
      </x:c>
      <x:c r="B7" s="14" t="str">
        <x:v>S006</x:v>
      </x:c>
      <x:c r="C7" s="14" t="str">
        <x:v>SAL-20260006</x:v>
      </x:c>
      <x:c r="D7" s="14" t="str">
        <x:v>Quarterly planning discussion - Vendor Risk Remediation</x:v>
      </x:c>
      <x:c r="E7" s="14" t="str">
        <x:v>Salesforce</x:v>
      </x:c>
      <x:c r="F7" s="14" t="str">
        <x:v>Vendor Risk Remediation</x:v>
      </x:c>
      <x:c r="G7" s="14" t="str">
        <x:v>D008</x:v>
      </x:c>
      <x:c r="H7" s="16" t="str">
        <x:v>2026-01-15 14:00:00</x:v>
      </x:c>
      <x:c r="I7" s="16" t="str">
        <x:v>2026-01-23 08:00:00</x:v>
      </x:c>
      <x:c r="J7" s="14" t="str">
        <x:v>Resolved</x:v>
      </x:c>
      <x:c r="K7" s="14" t="str">
        <x:v>Internal</x:v>
      </x:c>
    </x:row>
    <x:row r="8">
      <x:c r="A8" s="14" t="str">
        <x:v>C0007</x:v>
      </x:c>
      <x:c r="B8" s="14" t="str">
        <x:v>S007</x:v>
      </x:c>
      <x:c r="C8" s="14" t="str">
        <x:v>SER-20260007</x:v>
      </x:c>
      <x:c r="D8" s="14" t="str">
        <x:v>Implementation status check - Global Contract Renewal</x:v>
      </x:c>
      <x:c r="E8" s="14" t="str">
        <x:v>ServiceNow</x:v>
      </x:c>
      <x:c r="F8" s="14" t="str">
        <x:v>Global Contract Renewal</x:v>
      </x:c>
      <x:c r="G8" s="14" t="str">
        <x:v>D003</x:v>
      </x:c>
      <x:c r="H8" s="16" t="str">
        <x:v>2026-01-17 15:00:00</x:v>
      </x:c>
      <x:c r="I8" s="16" t="str">
        <x:v>2026-01-20 02:00:00</x:v>
      </x:c>
      <x:c r="J8" s="14" t="str">
        <x:v>Resolved</x:v>
      </x:c>
      <x:c r="K8" s="14" t="str">
        <x:v>Internal</x:v>
      </x:c>
    </x:row>
    <x:row r="9">
      <x:c r="A9" s="14" t="str">
        <x:v>C0008</x:v>
      </x:c>
      <x:c r="B9" s="14" t="str">
        <x:v>S001</x:v>
      </x:c>
      <x:c r="C9" s="14" t="str">
        <x:v>SLA-20260008</x:v>
      </x:c>
      <x:c r="D9" s="14" t="str">
        <x:v>Pricing exception request - Support Deflection Program</x:v>
      </x:c>
      <x:c r="E9" s="14" t="str">
        <x:v>#product-delivery</x:v>
      </x:c>
      <x:c r="F9" s="14" t="str">
        <x:v>Support Deflection Program</x:v>
      </x:c>
      <x:c r="G9" s="14" t="str">
        <x:v>D006</x:v>
      </x:c>
      <x:c r="H9" s="16" t="str">
        <x:v>2026-01-19 09:00:00</x:v>
      </x:c>
      <x:c r="I9" s="16" t="str">
        <x:v>2026-01-28 18:00:00</x:v>
      </x:c>
      <x:c r="J9" s="14" t="str">
        <x:v>Open</x:v>
      </x:c>
      <x:c r="K9" s="14" t="str">
        <x:v>Internal</x:v>
      </x:c>
    </x:row>
    <x:row r="10">
      <x:c r="A10" s="14" t="str">
        <x:v>C0009</x:v>
      </x:c>
      <x:c r="B10" s="14" t="str">
        <x:v>S002</x:v>
      </x:c>
      <x:c r="C10" s="14" t="str">
        <x:v>MIC-20260009</x:v>
      </x:c>
      <x:c r="D10" s="14" t="str">
        <x:v>Security remediation stand-up - Revenue Forecast Automation</x:v>
      </x:c>
      <x:c r="E10" s="14" t="str">
        <x:v>#eng-release</x:v>
      </x:c>
      <x:c r="F10" s="14" t="str">
        <x:v>Revenue Forecast Automation</x:v>
      </x:c>
      <x:c r="G10" s="14" t="str">
        <x:v>D001</x:v>
      </x:c>
      <x:c r="H10" s="16" t="str">
        <x:v>2026-01-21 10:00:00</x:v>
      </x:c>
      <x:c r="I10" s="16" t="str">
        <x:v>2026-01-28 23:00:00</x:v>
      </x:c>
      <x:c r="J10" s="14" t="str">
        <x:v>Resolved</x:v>
      </x:c>
      <x:c r="K10" s="14" t="str">
        <x:v>Internal</x:v>
      </x:c>
    </x:row>
    <x:row r="11">
      <x:c r="A11" s="14" t="str">
        <x:v>C0010</x:v>
      </x:c>
      <x:c r="B11" s="14" t="str">
        <x:v>S003</x:v>
      </x:c>
      <x:c r="C11" s="14" t="str">
        <x:v>GMA-20260010</x:v>
      </x:c>
      <x:c r="D11" s="14" t="str">
        <x:v>Renewal risk review - Identity Access Cleanup</x:v>
      </x:c>
      <x:c r="E11" s="14" t="str">
        <x:v>Gmail</x:v>
      </x:c>
      <x:c r="F11" s="14" t="str">
        <x:v>Identity Access Cleanup</x:v>
      </x:c>
      <x:c r="G11" s="14" t="str">
        <x:v>D004</x:v>
      </x:c>
      <x:c r="H11" s="16" t="str">
        <x:v>2026-01-23 11:00:00</x:v>
      </x:c>
      <x:c r="I11" s="16" t="str">
        <x:v>2026-01-25 21:00:00</x:v>
      </x:c>
      <x:c r="J11" s="14" t="str">
        <x:v>Open</x:v>
      </x:c>
      <x:c r="K11" s="14" t="str">
        <x:v>Restricted</x:v>
      </x:c>
    </x:row>
    <x:row r="12">
      <x:c r="A12" s="14" t="str">
        <x:v>C0011</x:v>
      </x:c>
      <x:c r="B12" s="14" t="str">
        <x:v>S004</x:v>
      </x:c>
      <x:c r="C12" s="14" t="str">
        <x:v>ZOO-20260011</x:v>
      </x:c>
      <x:c r="D12" s="14" t="str">
        <x:v>Executive action review - Employee Listening Initiative</x:v>
      </x:c>
      <x:c r="E12" s="14" t="str">
        <x:v>Zoom</x:v>
      </x:c>
      <x:c r="F12" s="14" t="str">
        <x:v>Employee Listening Initiative</x:v>
      </x:c>
      <x:c r="G12" s="14" t="str">
        <x:v>D007</x:v>
      </x:c>
      <x:c r="H12" s="16" t="str">
        <x:v>2026-01-25 12:00:00</x:v>
      </x:c>
      <x:c r="I12" s="16" t="str">
        <x:v>2026-01-26 14:00:00</x:v>
      </x:c>
      <x:c r="J12" s="14" t="str">
        <x:v>Open</x:v>
      </x:c>
      <x:c r="K12" s="14" t="str">
        <x:v>Internal</x:v>
      </x:c>
    </x:row>
    <x:row r="13">
      <x:c r="A13" s="14" t="str">
        <x:v>C0012</x:v>
      </x:c>
      <x:c r="B13" s="14" t="str">
        <x:v>S005</x:v>
      </x:c>
      <x:c r="C13" s="14" t="str">
        <x:v>JIR-20260012</x:v>
      </x:c>
      <x:c r="D13" s="14" t="str">
        <x:v>Operational handoff - Cloud Cost Optimization</x:v>
      </x:c>
      <x:c r="E13" s="14" t="str">
        <x:v>Jira</x:v>
      </x:c>
      <x:c r="F13" s="14" t="str">
        <x:v>Cloud Cost Optimization</x:v>
      </x:c>
      <x:c r="G13" s="14" t="str">
        <x:v>D002</x:v>
      </x:c>
      <x:c r="H13" s="16" t="str">
        <x:v>2026-01-27 13:00:00</x:v>
      </x:c>
      <x:c r="I13" s="16" t="str">
        <x:v>2026-01-31 08:00:00</x:v>
      </x:c>
      <x:c r="J13" s="14" t="str">
        <x:v>Resolved</x:v>
      </x:c>
      <x:c r="K13" s="14" t="str">
        <x:v>Internal</x:v>
      </x:c>
    </x:row>
    <x:row r="14">
      <x:c r="A14" s="14" t="str">
        <x:v>C0013</x:v>
      </x:c>
      <x:c r="B14" s="14" t="str">
        <x:v>S006</x:v>
      </x:c>
      <x:c r="C14" s="14" t="str">
        <x:v>SAL-20260013</x:v>
      </x:c>
      <x:c r="D14" s="14" t="str">
        <x:v>Release readiness sync - Orion Release 4.2</x:v>
      </x:c>
      <x:c r="E14" s="14" t="str">
        <x:v>Salesforce</x:v>
      </x:c>
      <x:c r="F14" s="14" t="str">
        <x:v>Orion Release 4.2</x:v>
      </x:c>
      <x:c r="G14" s="14" t="str">
        <x:v>D005</x:v>
      </x:c>
      <x:c r="H14" s="16" t="str">
        <x:v>2026-01-29 14:00:00</x:v>
      </x:c>
      <x:c r="I14" s="16" t="str">
        <x:v>2026-02-06 11:00:00</x:v>
      </x:c>
      <x:c r="J14" s="14" t="str">
        <x:v>Resolved</x:v>
      </x:c>
      <x:c r="K14" s="14" t="str">
        <x:v>Internal</x:v>
      </x:c>
    </x:row>
    <x:row r="15">
      <x:c r="A15" s="14" t="str">
        <x:v>C0014</x:v>
      </x:c>
      <x:c r="B15" s="14" t="str">
        <x:v>S007</x:v>
      </x:c>
      <x:c r="C15" s="14" t="str">
        <x:v>SER-20260014</x:v>
      </x:c>
      <x:c r="D15" s="14" t="str">
        <x:v>Customer escalation review - Customer 360 Migration</x:v>
      </x:c>
      <x:c r="E15" s="14" t="str">
        <x:v>ServiceNow</x:v>
      </x:c>
      <x:c r="F15" s="14" t="str">
        <x:v>Customer 360 Migration</x:v>
      </x:c>
      <x:c r="G15" s="14" t="str">
        <x:v>D008</x:v>
      </x:c>
      <x:c r="H15" s="16" t="str">
        <x:v>2026-01-31 15:00:00</x:v>
      </x:c>
      <x:c r="I15" s="16" t="str">
        <x:v>2026-02-10 14:00:00</x:v>
      </x:c>
      <x:c r="J15" s="14" t="str">
        <x:v>Open</x:v>
      </x:c>
      <x:c r="K15" s="14" t="str">
        <x:v>Internal</x:v>
      </x:c>
    </x:row>
    <x:row r="16">
      <x:c r="A16" s="14" t="str">
        <x:v>C0015</x:v>
      </x:c>
      <x:c r="B16" s="14" t="str">
        <x:v>S001</x:v>
      </x:c>
      <x:c r="C16" s="14" t="str">
        <x:v>SLA-20260015</x:v>
      </x:c>
      <x:c r="D16" s="14" t="str">
        <x:v>Contract approval follow-up - Q3 Pricing Refresh</x:v>
      </x:c>
      <x:c r="E16" s="14" t="str">
        <x:v>#product-delivery</x:v>
      </x:c>
      <x:c r="F16" s="14" t="str">
        <x:v>Q3 Pricing Refresh</x:v>
      </x:c>
      <x:c r="G16" s="14" t="str">
        <x:v>D003</x:v>
      </x:c>
      <x:c r="H16" s="16" t="str">
        <x:v>2026-02-02 09:00:00</x:v>
      </x:c>
      <x:c r="I16" s="16" t="str">
        <x:v>2026-02-11 08:00:00</x:v>
      </x:c>
      <x:c r="J16" s="14" t="str">
        <x:v>Resolved</x:v>
      </x:c>
      <x:c r="K16" s="14" t="str">
        <x:v>Internal</x:v>
      </x:c>
    </x:row>
    <x:row r="17">
      <x:c r="A17" s="14" t="str">
        <x:v>C0016</x:v>
      </x:c>
      <x:c r="B17" s="14" t="str">
        <x:v>S002</x:v>
      </x:c>
      <x:c r="C17" s="14" t="str">
        <x:v>MIC-20260016</x:v>
      </x:c>
      <x:c r="D17" s="14" t="str">
        <x:v>Weekly product triage - Atlas Data Quality</x:v>
      </x:c>
      <x:c r="E17" s="14" t="str">
        <x:v>#eng-release</x:v>
      </x:c>
      <x:c r="F17" s="14" t="str">
        <x:v>Atlas Data Quality</x:v>
      </x:c>
      <x:c r="G17" s="14" t="str">
        <x:v>D006</x:v>
      </x:c>
      <x:c r="H17" s="16" t="str">
        <x:v>2026-02-04 10:00:00</x:v>
      </x:c>
      <x:c r="I17" s="16" t="str">
        <x:v>2026-02-08 09:00:00</x:v>
      </x:c>
      <x:c r="J17" s="14" t="str">
        <x:v>Dormant</x:v>
      </x:c>
      <x:c r="K17" s="14" t="str">
        <x:v>Internal</x:v>
      </x:c>
    </x:row>
    <x:row r="18">
      <x:c r="A18" s="14" t="str">
        <x:v>C0017</x:v>
      </x:c>
      <x:c r="B18" s="14" t="str">
        <x:v>S003</x:v>
      </x:c>
      <x:c r="C18" s="14" t="str">
        <x:v>GMA-20260017</x:v>
      </x:c>
      <x:c r="D18" s="14" t="str">
        <x:v>Data pipeline incident - Nova Mobile Launch</x:v>
      </x:c>
      <x:c r="E18" s="14" t="str">
        <x:v>Gmail</x:v>
      </x:c>
      <x:c r="F18" s="14" t="str">
        <x:v>Nova Mobile Launch</x:v>
      </x:c>
      <x:c r="G18" s="14" t="str">
        <x:v>D001</x:v>
      </x:c>
      <x:c r="H18" s="16" t="str">
        <x:v>2026-02-06 11:00:00</x:v>
      </x:c>
      <x:c r="I18" s="16" t="str">
        <x:v>2026-02-07 01:00:00</x:v>
      </x:c>
      <x:c r="J18" s="14" t="str">
        <x:v>Resolved</x:v>
      </x:c>
      <x:c r="K18" s="14" t="str">
        <x:v>Internal</x:v>
      </x:c>
    </x:row>
    <x:row r="19">
      <x:c r="A19" s="14" t="str">
        <x:v>C0018</x:v>
      </x:c>
      <x:c r="B19" s="14" t="str">
        <x:v>S004</x:v>
      </x:c>
      <x:c r="C19" s="14" t="str">
        <x:v>ZOO-20260018</x:v>
      </x:c>
      <x:c r="D19" s="14" t="str">
        <x:v>Quarterly planning discussion - Vendor Risk Remediation</x:v>
      </x:c>
      <x:c r="E19" s="14" t="str">
        <x:v>Zoom</x:v>
      </x:c>
      <x:c r="F19" s="14" t="str">
        <x:v>Vendor Risk Remediation</x:v>
      </x:c>
      <x:c r="G19" s="14" t="str">
        <x:v>D004</x:v>
      </x:c>
      <x:c r="H19" s="16" t="str">
        <x:v>2026-02-08 12:00:00</x:v>
      </x:c>
      <x:c r="I19" s="16" t="str">
        <x:v>2026-02-09 11:00:00</x:v>
      </x:c>
      <x:c r="J19" s="14" t="str">
        <x:v>Resolved</x:v>
      </x:c>
      <x:c r="K19" s="14" t="str">
        <x:v>Confidential</x:v>
      </x:c>
    </x:row>
    <x:row r="20">
      <x:c r="A20" s="14" t="str">
        <x:v>C0019</x:v>
      </x:c>
      <x:c r="B20" s="14" t="str">
        <x:v>S005</x:v>
      </x:c>
      <x:c r="C20" s="14" t="str">
        <x:v>JIR-20260019</x:v>
      </x:c>
      <x:c r="D20" s="14" t="str">
        <x:v>Implementation status check - Global Contract Renewal</x:v>
      </x:c>
      <x:c r="E20" s="14" t="str">
        <x:v>Jira</x:v>
      </x:c>
      <x:c r="F20" s="14" t="str">
        <x:v>Global Contract Renewal</x:v>
      </x:c>
      <x:c r="G20" s="14" t="str">
        <x:v>D007</x:v>
      </x:c>
      <x:c r="H20" s="16" t="str">
        <x:v>2026-02-10 13:00:00</x:v>
      </x:c>
      <x:c r="I20" s="16" t="str">
        <x:v>2026-02-14 17:00:00</x:v>
      </x:c>
      <x:c r="J20" s="14" t="str">
        <x:v>Dormant</x:v>
      </x:c>
      <x:c r="K20" s="14" t="str">
        <x:v>Internal</x:v>
      </x:c>
    </x:row>
    <x:row r="21">
      <x:c r="A21" s="14" t="str">
        <x:v>C0020</x:v>
      </x:c>
      <x:c r="B21" s="14" t="str">
        <x:v>S006</x:v>
      </x:c>
      <x:c r="C21" s="14" t="str">
        <x:v>SAL-20260020</x:v>
      </x:c>
      <x:c r="D21" s="14" t="str">
        <x:v>Pricing exception request - Support Deflection Program</x:v>
      </x:c>
      <x:c r="E21" s="14" t="str">
        <x:v>Salesforce</x:v>
      </x:c>
      <x:c r="F21" s="14" t="str">
        <x:v>Support Deflection Program</x:v>
      </x:c>
      <x:c r="G21" s="14" t="str">
        <x:v>D002</x:v>
      </x:c>
      <x:c r="H21" s="16" t="str">
        <x:v>2026-02-12 14:00:00</x:v>
      </x:c>
      <x:c r="I21" s="16" t="str">
        <x:v>2026-02-16 14:00:00</x:v>
      </x:c>
      <x:c r="J21" s="14" t="str">
        <x:v>Resolved</x:v>
      </x:c>
      <x:c r="K21" s="14" t="str">
        <x:v>Internal</x:v>
      </x:c>
    </x:row>
    <x:row r="22">
      <x:c r="A22" s="14" t="str">
        <x:v>C0021</x:v>
      </x:c>
      <x:c r="B22" s="14" t="str">
        <x:v>S007</x:v>
      </x:c>
      <x:c r="C22" s="14" t="str">
        <x:v>SER-20260021</x:v>
      </x:c>
      <x:c r="D22" s="14" t="str">
        <x:v>Security remediation stand-up - Revenue Forecast Automation</x:v>
      </x:c>
      <x:c r="E22" s="14" t="str">
        <x:v>ServiceNow</x:v>
      </x:c>
      <x:c r="F22" s="14" t="str">
        <x:v>Revenue Forecast Automation</x:v>
      </x:c>
      <x:c r="G22" s="14" t="str">
        <x:v>D005</x:v>
      </x:c>
      <x:c r="H22" s="16" t="str">
        <x:v>2026-02-14 15:00:00</x:v>
      </x:c>
      <x:c r="I22" s="16" t="str">
        <x:v>2026-02-21 21:00:00</x:v>
      </x:c>
      <x:c r="J22" s="14" t="str">
        <x:v>Resolved</x:v>
      </x:c>
      <x:c r="K22" s="14" t="str">
        <x:v>Internal</x:v>
      </x:c>
    </x:row>
    <x:row r="23">
      <x:c r="A23" s="14" t="str">
        <x:v>C0022</x:v>
      </x:c>
      <x:c r="B23" s="14" t="str">
        <x:v>S001</x:v>
      </x:c>
      <x:c r="C23" s="14" t="str">
        <x:v>SLA-20260022</x:v>
      </x:c>
      <x:c r="D23" s="14" t="str">
        <x:v>Renewal risk review - Identity Access Cleanup</x:v>
      </x:c>
      <x:c r="E23" s="14" t="str">
        <x:v>#product-delivery</x:v>
      </x:c>
      <x:c r="F23" s="14" t="str">
        <x:v>Identity Access Cleanup</x:v>
      </x:c>
      <x:c r="G23" s="14" t="str">
        <x:v>D008</x:v>
      </x:c>
      <x:c r="H23" s="16" t="str">
        <x:v>2026-02-16 09:00:00</x:v>
      </x:c>
      <x:c r="I23" s="16" t="str">
        <x:v>2026-02-23 09:00:00</x:v>
      </x:c>
      <x:c r="J23" s="14" t="str">
        <x:v>Dormant</x:v>
      </x:c>
      <x:c r="K23" s="14" t="str">
        <x:v>Internal</x:v>
      </x:c>
    </x:row>
    <x:row r="24">
      <x:c r="A24" s="14" t="str">
        <x:v>C0023</x:v>
      </x:c>
      <x:c r="B24" s="14" t="str">
        <x:v>S002</x:v>
      </x:c>
      <x:c r="C24" s="14" t="str">
        <x:v>MIC-20260023</x:v>
      </x:c>
      <x:c r="D24" s="14" t="str">
        <x:v>Executive action review - Employee Listening Initiative</x:v>
      </x:c>
      <x:c r="E24" s="14" t="str">
        <x:v>#eng-release</x:v>
      </x:c>
      <x:c r="F24" s="14" t="str">
        <x:v>Employee Listening Initiative</x:v>
      </x:c>
      <x:c r="G24" s="14" t="str">
        <x:v>D003</x:v>
      </x:c>
      <x:c r="H24" s="16" t="str">
        <x:v>2026-02-18 10:00:00</x:v>
      </x:c>
      <x:c r="I24" s="16" t="str">
        <x:v>2026-02-24 05:00:00</x:v>
      </x:c>
      <x:c r="J24" s="14" t="str">
        <x:v>Resolved</x:v>
      </x:c>
      <x:c r="K24" s="14" t="str">
        <x:v>Confidential</x:v>
      </x:c>
    </x:row>
    <x:row r="25">
      <x:c r="A25" s="14" t="str">
        <x:v>C0024</x:v>
      </x:c>
      <x:c r="B25" s="14" t="str">
        <x:v>S003</x:v>
      </x:c>
      <x:c r="C25" s="14" t="str">
        <x:v>GMA-20260024</x:v>
      </x:c>
      <x:c r="D25" s="14" t="str">
        <x:v>Operational handoff - Cloud Cost Optimization</x:v>
      </x:c>
      <x:c r="E25" s="14" t="str">
        <x:v>Gmail</x:v>
      </x:c>
      <x:c r="F25" s="14" t="str">
        <x:v>Cloud Cost Optimization</x:v>
      </x:c>
      <x:c r="G25" s="14" t="str">
        <x:v>D006</x:v>
      </x:c>
      <x:c r="H25" s="16" t="str">
        <x:v>2026-02-20 11:00:00</x:v>
      </x:c>
      <x:c r="I25" s="16" t="str">
        <x:v>2026-02-24 15:00:00</x:v>
      </x:c>
      <x:c r="J25" s="14" t="str">
        <x:v>Open</x:v>
      </x:c>
      <x:c r="K25" s="14" t="str">
        <x:v>Internal</x:v>
      </x:c>
    </x:row>
    <x:row r="26">
      <x:c r="A26" s="14" t="str">
        <x:v>C0025</x:v>
      </x:c>
      <x:c r="B26" s="14" t="str">
        <x:v>S004</x:v>
      </x:c>
      <x:c r="C26" s="14" t="str">
        <x:v>ZOO-20260025</x:v>
      </x:c>
      <x:c r="D26" s="14" t="str">
        <x:v>Release readiness sync - Orion Release 4.2</x:v>
      </x:c>
      <x:c r="E26" s="14" t="str">
        <x:v>Zoom</x:v>
      </x:c>
      <x:c r="F26" s="14" t="str">
        <x:v>Orion Release 4.2</x:v>
      </x:c>
      <x:c r="G26" s="14" t="str">
        <x:v>D001</x:v>
      </x:c>
      <x:c r="H26" s="16" t="str">
        <x:v>2026-02-22 12:00:00</x:v>
      </x:c>
      <x:c r="I26" s="16" t="str">
        <x:v>2026-03-01 23:00:00</x:v>
      </x:c>
      <x:c r="J26" s="14" t="str">
        <x:v>Dormant</x:v>
      </x:c>
      <x:c r="K26" s="14" t="str">
        <x:v>Internal</x:v>
      </x:c>
    </x:row>
    <x:row r="27">
      <x:c r="A27" s="14" t="str">
        <x:v>C0026</x:v>
      </x:c>
      <x:c r="B27" s="14" t="str">
        <x:v>S005</x:v>
      </x:c>
      <x:c r="C27" s="14" t="str">
        <x:v>JIR-20260026</x:v>
      </x:c>
      <x:c r="D27" s="14" t="str">
        <x:v>Customer escalation review - Customer 360 Migration</x:v>
      </x:c>
      <x:c r="E27" s="14" t="str">
        <x:v>Jira</x:v>
      </x:c>
      <x:c r="F27" s="14" t="str">
        <x:v>Customer 360 Migration</x:v>
      </x:c>
      <x:c r="G27" s="14" t="str">
        <x:v>D004</x:v>
      </x:c>
      <x:c r="H27" s="16" t="str">
        <x:v>2026-02-24 13:00:00</x:v>
      </x:c>
      <x:c r="I27" s="16" t="str">
        <x:v>2026-03-05 15:00:00</x:v>
      </x:c>
      <x:c r="J27" s="14" t="str">
        <x:v>Resolved</x:v>
      </x:c>
      <x:c r="K27" s="14" t="str">
        <x:v>Confidential</x:v>
      </x:c>
    </x:row>
    <x:row r="28">
      <x:c r="A28" s="14" t="str">
        <x:v>C0027</x:v>
      </x:c>
      <x:c r="B28" s="14" t="str">
        <x:v>S006</x:v>
      </x:c>
      <x:c r="C28" s="14" t="str">
        <x:v>SAL-20260027</x:v>
      </x:c>
      <x:c r="D28" s="14" t="str">
        <x:v>Contract approval follow-up - Q3 Pricing Refresh</x:v>
      </x:c>
      <x:c r="E28" s="14" t="str">
        <x:v>Salesforce</x:v>
      </x:c>
      <x:c r="F28" s="14" t="str">
        <x:v>Q3 Pricing Refresh</x:v>
      </x:c>
      <x:c r="G28" s="14" t="str">
        <x:v>D007</x:v>
      </x:c>
      <x:c r="H28" s="16" t="str">
        <x:v>2026-02-26 14:00:00</x:v>
      </x:c>
      <x:c r="I28" s="16" t="str">
        <x:v>2026-03-07 11:00:00</x:v>
      </x:c>
      <x:c r="J28" s="14" t="str">
        <x:v>Open</x:v>
      </x:c>
      <x:c r="K28" s="14" t="str">
        <x:v>Internal</x:v>
      </x:c>
    </x:row>
    <x:row r="29">
      <x:c r="A29" s="14" t="str">
        <x:v>C0028</x:v>
      </x:c>
      <x:c r="B29" s="14" t="str">
        <x:v>S007</x:v>
      </x:c>
      <x:c r="C29" s="14" t="str">
        <x:v>SER-20260028</x:v>
      </x:c>
      <x:c r="D29" s="14" t="str">
        <x:v>Weekly product triage - Atlas Data Quality</x:v>
      </x:c>
      <x:c r="E29" s="14" t="str">
        <x:v>ServiceNow</x:v>
      </x:c>
      <x:c r="F29" s="14" t="str">
        <x:v>Atlas Data Quality</x:v>
      </x:c>
      <x:c r="G29" s="14" t="str">
        <x:v>D002</x:v>
      </x:c>
      <x:c r="H29" s="16" t="str">
        <x:v>2026-02-28 15:00:00</x:v>
      </x:c>
      <x:c r="I29" s="16" t="str">
        <x:v>2026-03-03 14:00:00</x:v>
      </x:c>
      <x:c r="J29" s="14" t="str">
        <x:v>Open</x:v>
      </x:c>
      <x:c r="K29" s="14" t="str">
        <x:v>Internal</x:v>
      </x:c>
    </x:row>
    <x:row r="30">
      <x:c r="A30" s="14" t="str">
        <x:v>C0029</x:v>
      </x:c>
      <x:c r="B30" s="14" t="str">
        <x:v>S001</x:v>
      </x:c>
      <x:c r="C30" s="14" t="str">
        <x:v>SLA-20260029</x:v>
      </x:c>
      <x:c r="D30" s="14" t="str">
        <x:v>Data pipeline incident - Nova Mobile Launch</x:v>
      </x:c>
      <x:c r="E30" s="14" t="str">
        <x:v>#product-delivery</x:v>
      </x:c>
      <x:c r="F30" s="14" t="str">
        <x:v>Nova Mobile Launch</x:v>
      </x:c>
      <x:c r="G30" s="14" t="str">
        <x:v>D005</x:v>
      </x:c>
      <x:c r="H30" s="16" t="str">
        <x:v>2026-03-02 09:00:00</x:v>
      </x:c>
      <x:c r="I30" s="16" t="str">
        <x:v>2026-03-08 13:00:00</x:v>
      </x:c>
      <x:c r="J30" s="14" t="str">
        <x:v>Dormant</x:v>
      </x:c>
      <x:c r="K30" s="14" t="str">
        <x:v>Confidential</x:v>
      </x:c>
    </x:row>
    <x:row r="31">
      <x:c r="A31" s="14" t="str">
        <x:v>C0030</x:v>
      </x:c>
      <x:c r="B31" s="14" t="str">
        <x:v>S002</x:v>
      </x:c>
      <x:c r="C31" s="14" t="str">
        <x:v>MIC-20260030</x:v>
      </x:c>
      <x:c r="D31" s="14" t="str">
        <x:v>Quarterly planning discussion - Vendor Risk Remediation</x:v>
      </x:c>
      <x:c r="E31" s="14" t="str">
        <x:v>#eng-release</x:v>
      </x:c>
      <x:c r="F31" s="14" t="str">
        <x:v>Vendor Risk Remediation</x:v>
      </x:c>
      <x:c r="G31" s="14" t="str">
        <x:v>D008</x:v>
      </x:c>
      <x:c r="H31" s="16" t="str">
        <x:v>2026-03-04 10:00:00</x:v>
      </x:c>
      <x:c r="I31" s="16" t="str">
        <x:v>2026-03-11 12:00:00</x:v>
      </x:c>
      <x:c r="J31" s="14" t="str">
        <x:v>Open</x:v>
      </x:c>
      <x:c r="K31" s="14" t="str">
        <x:v>Internal</x:v>
      </x:c>
    </x:row>
    <x:row r="32">
      <x:c r="A32" s="14" t="str">
        <x:v>C0031</x:v>
      </x:c>
      <x:c r="B32" s="14" t="str">
        <x:v>S003</x:v>
      </x:c>
      <x:c r="C32" s="14" t="str">
        <x:v>GMA-20260031</x:v>
      </x:c>
      <x:c r="D32" s="14" t="str">
        <x:v>Implementation status check - Global Contract Renewal</x:v>
      </x:c>
      <x:c r="E32" s="14" t="str">
        <x:v>Gmail</x:v>
      </x:c>
      <x:c r="F32" s="14" t="str">
        <x:v>Global Contract Renewal</x:v>
      </x:c>
      <x:c r="G32" s="14" t="str">
        <x:v>D003</x:v>
      </x:c>
      <x:c r="H32" s="16" t="str">
        <x:v>2026-03-06 11:00:00</x:v>
      </x:c>
      <x:c r="I32" s="16" t="str">
        <x:v>2026-03-13 10:00:00</x:v>
      </x:c>
      <x:c r="J32" s="14" t="str">
        <x:v>Dormant</x:v>
      </x:c>
      <x:c r="K32" s="14" t="str">
        <x:v>Internal</x:v>
      </x:c>
    </x:row>
    <x:row r="33">
      <x:c r="A33" s="14" t="str">
        <x:v>C0032</x:v>
      </x:c>
      <x:c r="B33" s="14" t="str">
        <x:v>S004</x:v>
      </x:c>
      <x:c r="C33" s="14" t="str">
        <x:v>ZOO-20260032</x:v>
      </x:c>
      <x:c r="D33" s="14" t="str">
        <x:v>Pricing exception request - Support Deflection Program</x:v>
      </x:c>
      <x:c r="E33" s="14" t="str">
        <x:v>Zoom</x:v>
      </x:c>
      <x:c r="F33" s="14" t="str">
        <x:v>Support Deflection Program</x:v>
      </x:c>
      <x:c r="G33" s="14" t="str">
        <x:v>D006</x:v>
      </x:c>
      <x:c r="H33" s="16" t="str">
        <x:v>2026-03-08 12:00:00</x:v>
      </x:c>
      <x:c r="I33" s="16" t="str">
        <x:v>2026-03-11 06:00:00</x:v>
      </x:c>
      <x:c r="J33" s="14" t="str">
        <x:v>Open</x:v>
      </x:c>
      <x:c r="K33" s="14" t="str">
        <x:v>Confidential</x:v>
      </x:c>
    </x:row>
    <x:row r="34">
      <x:c r="A34" s="14" t="str">
        <x:v>C0033</x:v>
      </x:c>
      <x:c r="B34" s="14" t="str">
        <x:v>S005</x:v>
      </x:c>
      <x:c r="C34" s="14" t="str">
        <x:v>JIR-20260033</x:v>
      </x:c>
      <x:c r="D34" s="14" t="str">
        <x:v>Security remediation stand-up - Revenue Forecast Automation</x:v>
      </x:c>
      <x:c r="E34" s="14" t="str">
        <x:v>Jira</x:v>
      </x:c>
      <x:c r="F34" s="14" t="str">
        <x:v>Revenue Forecast Automation</x:v>
      </x:c>
      <x:c r="G34" s="14" t="str">
        <x:v>D001</x:v>
      </x:c>
      <x:c r="H34" s="16" t="str">
        <x:v>2026-03-10 13:00:00</x:v>
      </x:c>
      <x:c r="I34" s="16" t="str">
        <x:v>2026-03-18 15:00:00</x:v>
      </x:c>
      <x:c r="J34" s="14" t="str">
        <x:v>Resolved</x:v>
      </x:c>
      <x:c r="K34" s="14" t="str">
        <x:v>Internal</x:v>
      </x:c>
    </x:row>
    <x:row r="35">
      <x:c r="A35" s="14" t="str">
        <x:v>C0034</x:v>
      </x:c>
      <x:c r="B35" s="14" t="str">
        <x:v>S006</x:v>
      </x:c>
      <x:c r="C35" s="14" t="str">
        <x:v>SAL-20260034</x:v>
      </x:c>
      <x:c r="D35" s="14" t="str">
        <x:v>Renewal risk review - Identity Access Cleanup</x:v>
      </x:c>
      <x:c r="E35" s="14" t="str">
        <x:v>Salesforce</x:v>
      </x:c>
      <x:c r="F35" s="14" t="str">
        <x:v>Identity Access Cleanup</x:v>
      </x:c>
      <x:c r="G35" s="14" t="str">
        <x:v>D004</x:v>
      </x:c>
      <x:c r="H35" s="16" t="str">
        <x:v>2026-03-12 14:00:00</x:v>
      </x:c>
      <x:c r="I35" s="16" t="str">
        <x:v>2026-03-16 23:00:00</x:v>
      </x:c>
      <x:c r="J35" s="14" t="str">
        <x:v>Dormant</x:v>
      </x:c>
      <x:c r="K35" s="14" t="str">
        <x:v>Internal</x:v>
      </x:c>
    </x:row>
    <x:row r="36">
      <x:c r="A36" s="14" t="str">
        <x:v>C0035</x:v>
      </x:c>
      <x:c r="B36" s="14" t="str">
        <x:v>S007</x:v>
      </x:c>
      <x:c r="C36" s="14" t="str">
        <x:v>SER-20260035</x:v>
      </x:c>
      <x:c r="D36" s="14" t="str">
        <x:v>Executive action review - Employee Listening Initiative</x:v>
      </x:c>
      <x:c r="E36" s="14" t="str">
        <x:v>ServiceNow</x:v>
      </x:c>
      <x:c r="F36" s="14" t="str">
        <x:v>Employee Listening Initiative</x:v>
      </x:c>
      <x:c r="G36" s="14" t="str">
        <x:v>D007</x:v>
      </x:c>
      <x:c r="H36" s="16" t="str">
        <x:v>2026-03-14 15:00:00</x:v>
      </x:c>
      <x:c r="I36" s="16" t="str">
        <x:v>2026-03-16 05:00:00</x:v>
      </x:c>
      <x:c r="J36" s="14" t="str">
        <x:v>Dormant</x:v>
      </x:c>
      <x:c r="K36" s="14" t="str">
        <x:v>Internal</x:v>
      </x:c>
    </x:row>
    <x:row r="37">
      <x:c r="A37" s="14" t="str">
        <x:v>C0036</x:v>
      </x:c>
      <x:c r="B37" s="14" t="str">
        <x:v>S001</x:v>
      </x:c>
      <x:c r="C37" s="14" t="str">
        <x:v>SLA-20260036</x:v>
      </x:c>
      <x:c r="D37" s="14" t="str">
        <x:v>Operational handoff - Cloud Cost Optimization</x:v>
      </x:c>
      <x:c r="E37" s="14" t="str">
        <x:v>#product-delivery</x:v>
      </x:c>
      <x:c r="F37" s="14" t="str">
        <x:v>Cloud Cost Optimization</x:v>
      </x:c>
      <x:c r="G37" s="14" t="str">
        <x:v>D002</x:v>
      </x:c>
      <x:c r="H37" s="16" t="str">
        <x:v>2026-03-16 09:00:00</x:v>
      </x:c>
      <x:c r="I37" s="16" t="str">
        <x:v>2026-03-17 00:00:00</x:v>
      </x:c>
      <x:c r="J37" s="14" t="str">
        <x:v>Open</x:v>
      </x:c>
      <x:c r="K37" s="14" t="str">
        <x:v>Confidential</x:v>
      </x:c>
    </x:row>
    <x:row r="38">
      <x:c r="A38" s="14" t="str">
        <x:v>C0037</x:v>
      </x:c>
      <x:c r="B38" s="14" t="str">
        <x:v>S002</x:v>
      </x:c>
      <x:c r="C38" s="14" t="str">
        <x:v>MIC-20260037</x:v>
      </x:c>
      <x:c r="D38" s="14" t="str">
        <x:v>Release readiness sync - Orion Release 4.2</x:v>
      </x:c>
      <x:c r="E38" s="14" t="str">
        <x:v>#eng-release</x:v>
      </x:c>
      <x:c r="F38" s="14" t="str">
        <x:v>Orion Release 4.2</x:v>
      </x:c>
      <x:c r="G38" s="14" t="str">
        <x:v>D005</x:v>
      </x:c>
      <x:c r="H38" s="16" t="str">
        <x:v>2026-03-18 10:00:00</x:v>
      </x:c>
      <x:c r="I38" s="16" t="str">
        <x:v>2026-03-20 05:00:00</x:v>
      </x:c>
      <x:c r="J38" s="14" t="str">
        <x:v>Open</x:v>
      </x:c>
      <x:c r="K38" s="14" t="str">
        <x:v>Confidential</x:v>
      </x:c>
    </x:row>
    <x:row r="39">
      <x:c r="A39" s="14" t="str">
        <x:v>C0038</x:v>
      </x:c>
      <x:c r="B39" s="14" t="str">
        <x:v>S003</x:v>
      </x:c>
      <x:c r="C39" s="14" t="str">
        <x:v>GMA-20260038</x:v>
      </x:c>
      <x:c r="D39" s="14" t="str">
        <x:v>Customer escalation review - Customer 360 Migration</x:v>
      </x:c>
      <x:c r="E39" s="14" t="str">
        <x:v>Gmail</x:v>
      </x:c>
      <x:c r="F39" s="14" t="str">
        <x:v>Customer 360 Migration</x:v>
      </x:c>
      <x:c r="G39" s="14" t="str">
        <x:v>D008</x:v>
      </x:c>
      <x:c r="H39" s="16" t="str">
        <x:v>2026-03-20 11:00:00</x:v>
      </x:c>
      <x:c r="I39" s="16" t="str">
        <x:v>2026-03-21 06:00:00</x:v>
      </x:c>
      <x:c r="J39" s="14" t="str">
        <x:v>Resolved</x:v>
      </x:c>
      <x:c r="K39" s="14" t="str">
        <x:v>Internal</x:v>
      </x:c>
    </x:row>
    <x:row r="40">
      <x:c r="A40" s="14" t="str">
        <x:v>C0039</x:v>
      </x:c>
      <x:c r="B40" s="14" t="str">
        <x:v>S004</x:v>
      </x:c>
      <x:c r="C40" s="14" t="str">
        <x:v>ZOO-20260039</x:v>
      </x:c>
      <x:c r="D40" s="14" t="str">
        <x:v>Contract approval follow-up - Q3 Pricing Refresh</x:v>
      </x:c>
      <x:c r="E40" s="14" t="str">
        <x:v>Zoom</x:v>
      </x:c>
      <x:c r="F40" s="14" t="str">
        <x:v>Q3 Pricing Refresh</x:v>
      </x:c>
      <x:c r="G40" s="14" t="str">
        <x:v>D003</x:v>
      </x:c>
      <x:c r="H40" s="16" t="str">
        <x:v>2026-03-22 12:00:00</x:v>
      </x:c>
      <x:c r="I40" s="16" t="str">
        <x:v>2026-03-27 14:00:00</x:v>
      </x:c>
      <x:c r="J40" s="14" t="str">
        <x:v>Resolved</x:v>
      </x:c>
      <x:c r="K40" s="14" t="str">
        <x:v>Internal</x:v>
      </x:c>
    </x:row>
    <x:row r="41">
      <x:c r="A41" s="14" t="str">
        <x:v>C0040</x:v>
      </x:c>
      <x:c r="B41" s="14" t="str">
        <x:v>S005</x:v>
      </x:c>
      <x:c r="C41" s="14" t="str">
        <x:v>JIR-20260040</x:v>
      </x:c>
      <x:c r="D41" s="14" t="str">
        <x:v>Weekly product triage - Atlas Data Quality</x:v>
      </x:c>
      <x:c r="E41" s="14" t="str">
        <x:v>Jira</x:v>
      </x:c>
      <x:c r="F41" s="14" t="str">
        <x:v>Atlas Data Quality</x:v>
      </x:c>
      <x:c r="G41" s="14" t="str">
        <x:v>D006</x:v>
      </x:c>
      <x:c r="H41" s="16" t="str">
        <x:v>2026-03-24 13:00:00</x:v>
      </x:c>
      <x:c r="I41" s="16" t="str">
        <x:v>2026-04-02 20:00:00</x:v>
      </x:c>
      <x:c r="J41" s="14" t="str">
        <x:v>Dormant</x:v>
      </x:c>
      <x:c r="K41" s="14" t="str">
        <x:v>Confidential</x:v>
      </x:c>
    </x:row>
    <x:row r="42">
      <x:c r="A42" s="14" t="str">
        <x:v>C0041</x:v>
      </x:c>
      <x:c r="B42" s="14" t="str">
        <x:v>S006</x:v>
      </x:c>
      <x:c r="C42" s="14" t="str">
        <x:v>SAL-20260041</x:v>
      </x:c>
      <x:c r="D42" s="14" t="str">
        <x:v>Data pipeline incident - Nova Mobile Launch</x:v>
      </x:c>
      <x:c r="E42" s="14" t="str">
        <x:v>Salesforce</x:v>
      </x:c>
      <x:c r="F42" s="14" t="str">
        <x:v>Nova Mobile Launch</x:v>
      </x:c>
      <x:c r="G42" s="14" t="str">
        <x:v>D001</x:v>
      </x:c>
      <x:c r="H42" s="16" t="str">
        <x:v>2026-03-26 14:00:00</x:v>
      </x:c>
      <x:c r="I42" s="16" t="str">
        <x:v>2026-03-27 22:00:00</x:v>
      </x:c>
      <x:c r="J42" s="14" t="str">
        <x:v>Resolved</x:v>
      </x:c>
      <x:c r="K42" s="14" t="str">
        <x:v>Internal</x:v>
      </x:c>
    </x:row>
    <x:row r="43">
      <x:c r="A43" s="14" t="str">
        <x:v>C0042</x:v>
      </x:c>
      <x:c r="B43" s="14" t="str">
        <x:v>S007</x:v>
      </x:c>
      <x:c r="C43" s="14" t="str">
        <x:v>SER-20260042</x:v>
      </x:c>
      <x:c r="D43" s="14" t="str">
        <x:v>Quarterly planning discussion - Vendor Risk Remediation</x:v>
      </x:c>
      <x:c r="E43" s="14" t="str">
        <x:v>ServiceNow</x:v>
      </x:c>
      <x:c r="F43" s="14" t="str">
        <x:v>Vendor Risk Remediation</x:v>
      </x:c>
      <x:c r="G43" s="14" t="str">
        <x:v>D004</x:v>
      </x:c>
      <x:c r="H43" s="16" t="str">
        <x:v>2026-03-28 15:00:00</x:v>
      </x:c>
      <x:c r="I43" s="16" t="str">
        <x:v>2026-03-31 14:00:00</x:v>
      </x:c>
      <x:c r="J43" s="14" t="str">
        <x:v>Resolved</x:v>
      </x:c>
      <x:c r="K43" s="14" t="str">
        <x:v>Confidential</x:v>
      </x:c>
    </x:row>
    <x:row r="44">
      <x:c r="A44" s="14" t="str">
        <x:v>C0043</x:v>
      </x:c>
      <x:c r="B44" s="14" t="str">
        <x:v>S001</x:v>
      </x:c>
      <x:c r="C44" s="14" t="str">
        <x:v>SLA-20260043</x:v>
      </x:c>
      <x:c r="D44" s="14" t="str">
        <x:v>Implementation status check - Global Contract Renewal</x:v>
      </x:c>
      <x:c r="E44" s="14" t="str">
        <x:v>#product-delivery</x:v>
      </x:c>
      <x:c r="F44" s="14" t="str">
        <x:v>Global Contract Renewal</x:v>
      </x:c>
      <x:c r="G44" s="14" t="str">
        <x:v>D007</x:v>
      </x:c>
      <x:c r="H44" s="16" t="str">
        <x:v>2026-03-30 09:00:00</x:v>
      </x:c>
      <x:c r="I44" s="16" t="str">
        <x:v>2026-04-02 15:00:00</x:v>
      </x:c>
      <x:c r="J44" s="14" t="str">
        <x:v>Open</x:v>
      </x:c>
      <x:c r="K44" s="14" t="str">
        <x:v>Internal</x:v>
      </x:c>
    </x:row>
    <x:row r="45">
      <x:c r="A45" s="14" t="str">
        <x:v>C0044</x:v>
      </x:c>
      <x:c r="B45" s="14" t="str">
        <x:v>S002</x:v>
      </x:c>
      <x:c r="C45" s="14" t="str">
        <x:v>MIC-20260044</x:v>
      </x:c>
      <x:c r="D45" s="14" t="str">
        <x:v>Pricing exception request - Support Deflection Program</x:v>
      </x:c>
      <x:c r="E45" s="14" t="str">
        <x:v>#eng-release</x:v>
      </x:c>
      <x:c r="F45" s="14" t="str">
        <x:v>Support Deflection Program</x:v>
      </x:c>
      <x:c r="G45" s="14" t="str">
        <x:v>D002</x:v>
      </x:c>
      <x:c r="H45" s="16" t="str">
        <x:v>2026-04-01 10:00:00</x:v>
      </x:c>
      <x:c r="I45" s="16" t="str">
        <x:v>2026-04-09 05:00:00</x:v>
      </x:c>
      <x:c r="J45" s="14" t="str">
        <x:v>Resolved</x:v>
      </x:c>
      <x:c r="K45" s="14" t="str">
        <x:v>Confidential</x:v>
      </x:c>
    </x:row>
    <x:row r="46">
      <x:c r="A46" s="14" t="str">
        <x:v>C0045</x:v>
      </x:c>
      <x:c r="B46" s="14" t="str">
        <x:v>S003</x:v>
      </x:c>
      <x:c r="C46" s="14" t="str">
        <x:v>GMA-20260045</x:v>
      </x:c>
      <x:c r="D46" s="14" t="str">
        <x:v>Security remediation stand-up - Revenue Forecast Automation</x:v>
      </x:c>
      <x:c r="E46" s="14" t="str">
        <x:v>Gmail</x:v>
      </x:c>
      <x:c r="F46" s="14" t="str">
        <x:v>Revenue Forecast Automation</x:v>
      </x:c>
      <x:c r="G46" s="14" t="str">
        <x:v>D005</x:v>
      </x:c>
      <x:c r="H46" s="16" t="str">
        <x:v>2026-04-03 11:00:00</x:v>
      </x:c>
      <x:c r="I46" s="16" t="str">
        <x:v>2026-04-08 22:00:00</x:v>
      </x:c>
      <x:c r="J46" s="14" t="str">
        <x:v>Open</x:v>
      </x:c>
      <x:c r="K46" s="14" t="str">
        <x:v>Confidential</x:v>
      </x:c>
    </x:row>
    <x:row r="47">
      <x:c r="A47" s="14" t="str">
        <x:v>C0046</x:v>
      </x:c>
      <x:c r="B47" s="14" t="str">
        <x:v>S004</x:v>
      </x:c>
      <x:c r="C47" s="14" t="str">
        <x:v>ZOO-20260046</x:v>
      </x:c>
      <x:c r="D47" s="14" t="str">
        <x:v>Renewal risk review - Identity Access Cleanup</x:v>
      </x:c>
      <x:c r="E47" s="14" t="str">
        <x:v>Zoom</x:v>
      </x:c>
      <x:c r="F47" s="14" t="str">
        <x:v>Identity Access Cleanup</x:v>
      </x:c>
      <x:c r="G47" s="14" t="str">
        <x:v>D008</x:v>
      </x:c>
      <x:c r="H47" s="16" t="str">
        <x:v>2026-04-05 12:00:00</x:v>
      </x:c>
      <x:c r="I47" s="16" t="str">
        <x:v>2026-04-06 18:00:00</x:v>
      </x:c>
      <x:c r="J47" s="14" t="str">
        <x:v>Resolved</x:v>
      </x:c>
      <x:c r="K47" s="14" t="str">
        <x:v>Confidential</x:v>
      </x:c>
    </x:row>
    <x:row r="48">
      <x:c r="A48" s="14" t="str">
        <x:v>C0047</x:v>
      </x:c>
      <x:c r="B48" s="14" t="str">
        <x:v>S005</x:v>
      </x:c>
      <x:c r="C48" s="14" t="str">
        <x:v>JIR-20260047</x:v>
      </x:c>
      <x:c r="D48" s="14" t="str">
        <x:v>Executive action review - Employee Listening Initiative</x:v>
      </x:c>
      <x:c r="E48" s="14" t="str">
        <x:v>Jira</x:v>
      </x:c>
      <x:c r="F48" s="14" t="str">
        <x:v>Employee Listening Initiative</x:v>
      </x:c>
      <x:c r="G48" s="14" t="str">
        <x:v>D003</x:v>
      </x:c>
      <x:c r="H48" s="16" t="str">
        <x:v>2026-04-07 13:00:00</x:v>
      </x:c>
      <x:c r="I48" s="16" t="str">
        <x:v>2026-04-14 11:00:00</x:v>
      </x:c>
      <x:c r="J48" s="14" t="str">
        <x:v>Open</x:v>
      </x:c>
      <x:c r="K48" s="14" t="str">
        <x:v>Internal</x:v>
      </x:c>
    </x:row>
    <x:row r="49">
      <x:c r="A49" s="14" t="str">
        <x:v>C0048</x:v>
      </x:c>
      <x:c r="B49" s="14" t="str">
        <x:v>S006</x:v>
      </x:c>
      <x:c r="C49" s="14" t="str">
        <x:v>SAL-20260048</x:v>
      </x:c>
      <x:c r="D49" s="14" t="str">
        <x:v>Operational handoff - Cloud Cost Optimization</x:v>
      </x:c>
      <x:c r="E49" s="14" t="str">
        <x:v>Salesforce</x:v>
      </x:c>
      <x:c r="F49" s="14" t="str">
        <x:v>Cloud Cost Optimization</x:v>
      </x:c>
      <x:c r="G49" s="14" t="str">
        <x:v>D006</x:v>
      </x:c>
      <x:c r="H49" s="16" t="str">
        <x:v>2026-04-09 14:00:00</x:v>
      </x:c>
      <x:c r="I49" s="16" t="str">
        <x:v>2026-04-13 16:00:00</x:v>
      </x:c>
      <x:c r="J49" s="14" t="str">
        <x:v>Open</x:v>
      </x:c>
      <x:c r="K49" s="14" t="str">
        <x:v>Confidential</x:v>
      </x:c>
    </x:row>
    <x:row r="50">
      <x:c r="A50" s="14" t="str">
        <x:v>C0049</x:v>
      </x:c>
      <x:c r="B50" s="14" t="str">
        <x:v>S007</x:v>
      </x:c>
      <x:c r="C50" s="14" t="str">
        <x:v>SER-20260049</x:v>
      </x:c>
      <x:c r="D50" s="14" t="str">
        <x:v>Release readiness sync - Orion Release 4.2</x:v>
      </x:c>
      <x:c r="E50" s="14" t="str">
        <x:v>ServiceNow</x:v>
      </x:c>
      <x:c r="F50" s="14" t="str">
        <x:v>Orion Release 4.2</x:v>
      </x:c>
      <x:c r="G50" s="14" t="str">
        <x:v>D001</x:v>
      </x:c>
      <x:c r="H50" s="16" t="str">
        <x:v>2026-04-11 15:00:00</x:v>
      </x:c>
      <x:c r="I50" s="16" t="str">
        <x:v>2026-04-20 01:00:00</x:v>
      </x:c>
      <x:c r="J50" s="14" t="str">
        <x:v>Resolved</x:v>
      </x:c>
      <x:c r="K50" s="14" t="str">
        <x:v>Confidential</x:v>
      </x:c>
    </x:row>
    <x:row r="51">
      <x:c r="A51" s="14" t="str">
        <x:v>C0050</x:v>
      </x:c>
      <x:c r="B51" s="14" t="str">
        <x:v>S001</x:v>
      </x:c>
      <x:c r="C51" s="14" t="str">
        <x:v>SLA-20260050</x:v>
      </x:c>
      <x:c r="D51" s="14" t="str">
        <x:v>Customer escalation review - Customer 360 Migration</x:v>
      </x:c>
      <x:c r="E51" s="14" t="str">
        <x:v>#product-delivery</x:v>
      </x:c>
      <x:c r="F51" s="14" t="str">
        <x:v>Customer 360 Migration</x:v>
      </x:c>
      <x:c r="G51" s="14" t="str">
        <x:v>D004</x:v>
      </x:c>
      <x:c r="H51" s="16" t="str">
        <x:v>2026-04-13 09:00:00</x:v>
      </x:c>
      <x:c r="I51" s="16" t="str">
        <x:v>2026-04-19 21:00:00</x:v>
      </x:c>
      <x:c r="J51" s="14" t="str">
        <x:v>Dormant</x:v>
      </x:c>
      <x:c r="K51" s="14" t="str">
        <x:v>Internal</x:v>
      </x:c>
    </x:row>
    <x:row r="52">
      <x:c r="A52" s="14" t="str">
        <x:v>C0051</x:v>
      </x:c>
      <x:c r="B52" s="14" t="str">
        <x:v>S002</x:v>
      </x:c>
      <x:c r="C52" s="14" t="str">
        <x:v>MIC-20260051</x:v>
      </x:c>
      <x:c r="D52" s="14" t="str">
        <x:v>Contract approval follow-up - Q3 Pricing Refresh</x:v>
      </x:c>
      <x:c r="E52" s="14" t="str">
        <x:v>#eng-release</x:v>
      </x:c>
      <x:c r="F52" s="14" t="str">
        <x:v>Q3 Pricing Refresh</x:v>
      </x:c>
      <x:c r="G52" s="14" t="str">
        <x:v>D007</x:v>
      </x:c>
      <x:c r="H52" s="16" t="str">
        <x:v>2026-04-15 10:00:00</x:v>
      </x:c>
      <x:c r="I52" s="16" t="str">
        <x:v>2026-04-25 10:00:00</x:v>
      </x:c>
      <x:c r="J52" s="14" t="str">
        <x:v>Open</x:v>
      </x:c>
      <x:c r="K52" s="14" t="str">
        <x:v>Internal</x:v>
      </x:c>
    </x:row>
    <x:row r="53">
      <x:c r="A53" s="14" t="str">
        <x:v>C0052</x:v>
      </x:c>
      <x:c r="B53" s="14" t="str">
        <x:v>S003</x:v>
      </x:c>
      <x:c r="C53" s="14" t="str">
        <x:v>GMA-20260052</x:v>
      </x:c>
      <x:c r="D53" s="14" t="str">
        <x:v>Weekly product triage - Atlas Data Quality</x:v>
      </x:c>
      <x:c r="E53" s="14" t="str">
        <x:v>Gmail</x:v>
      </x:c>
      <x:c r="F53" s="14" t="str">
        <x:v>Atlas Data Quality</x:v>
      </x:c>
      <x:c r="G53" s="14" t="str">
        <x:v>D002</x:v>
      </x:c>
      <x:c r="H53" s="16" t="str">
        <x:v>2026-04-17 11:00:00</x:v>
      </x:c>
      <x:c r="I53" s="16" t="str">
        <x:v>2026-04-26 04:00:00</x:v>
      </x:c>
      <x:c r="J53" s="14" t="str">
        <x:v>Dormant</x:v>
      </x:c>
      <x:c r="K53" s="14" t="str">
        <x:v>Internal</x:v>
      </x:c>
    </x:row>
    <x:row r="54">
      <x:c r="A54" s="14" t="str">
        <x:v>C0053</x:v>
      </x:c>
      <x:c r="B54" s="14" t="str">
        <x:v>S004</x:v>
      </x:c>
      <x:c r="C54" s="14" t="str">
        <x:v>ZOO-20260053</x:v>
      </x:c>
      <x:c r="D54" s="14" t="str">
        <x:v>Data pipeline incident - Nova Mobile Launch</x:v>
      </x:c>
      <x:c r="E54" s="14" t="str">
        <x:v>Zoom</x:v>
      </x:c>
      <x:c r="F54" s="14" t="str">
        <x:v>Nova Mobile Launch</x:v>
      </x:c>
      <x:c r="G54" s="14" t="str">
        <x:v>D005</x:v>
      </x:c>
      <x:c r="H54" s="16" t="str">
        <x:v>2026-04-19 12:00:00</x:v>
      </x:c>
      <x:c r="I54" s="16" t="str">
        <x:v>2026-04-28 23:00:00</x:v>
      </x:c>
      <x:c r="J54" s="14" t="str">
        <x:v>Open</x:v>
      </x:c>
      <x:c r="K54" s="14" t="str">
        <x:v>Internal</x:v>
      </x:c>
    </x:row>
    <x:row r="55">
      <x:c r="A55" s="14" t="str">
        <x:v>C0054</x:v>
      </x:c>
      <x:c r="B55" s="14" t="str">
        <x:v>S005</x:v>
      </x:c>
      <x:c r="C55" s="14" t="str">
        <x:v>JIR-20260054</x:v>
      </x:c>
      <x:c r="D55" s="14" t="str">
        <x:v>Quarterly planning discussion - Vendor Risk Remediation</x:v>
      </x:c>
      <x:c r="E55" s="14" t="str">
        <x:v>Jira</x:v>
      </x:c>
      <x:c r="F55" s="14" t="str">
        <x:v>Vendor Risk Remediation</x:v>
      </x:c>
      <x:c r="G55" s="14" t="str">
        <x:v>D008</x:v>
      </x:c>
      <x:c r="H55" s="16" t="str">
        <x:v>2026-04-21 13:00:00</x:v>
      </x:c>
      <x:c r="I55" s="16" t="str">
        <x:v>2026-04-29 11:00:00</x:v>
      </x:c>
      <x:c r="J55" s="14" t="str">
        <x:v>Open</x:v>
      </x:c>
      <x:c r="K55" s="14" t="str">
        <x:v>Internal</x:v>
      </x:c>
    </x:row>
    <x:row r="56">
      <x:c r="A56" s="14" t="str">
        <x:v>C0055</x:v>
      </x:c>
      <x:c r="B56" s="14" t="str">
        <x:v>S006</x:v>
      </x:c>
      <x:c r="C56" s="14" t="str">
        <x:v>SAL-20260055</x:v>
      </x:c>
      <x:c r="D56" s="14" t="str">
        <x:v>Implementation status check - Global Contract Renewal</x:v>
      </x:c>
      <x:c r="E56" s="14" t="str">
        <x:v>Salesforce</x:v>
      </x:c>
      <x:c r="F56" s="14" t="str">
        <x:v>Global Contract Renewal</x:v>
      </x:c>
      <x:c r="G56" s="14" t="str">
        <x:v>D003</x:v>
      </x:c>
      <x:c r="H56" s="16" t="str">
        <x:v>2026-04-23 14:00:00</x:v>
      </x:c>
      <x:c r="I56" s="16" t="str">
        <x:v>2026-05-01 19:00:00</x:v>
      </x:c>
      <x:c r="J56" s="14" t="str">
        <x:v>Open</x:v>
      </x:c>
      <x:c r="K56" s="14" t="str">
        <x:v>Internal</x:v>
      </x:c>
    </x:row>
    <x:row r="57">
      <x:c r="A57" s="14" t="str">
        <x:v>C0056</x:v>
      </x:c>
      <x:c r="B57" s="14" t="str">
        <x:v>S007</x:v>
      </x:c>
      <x:c r="C57" s="14" t="str">
        <x:v>SER-20260056</x:v>
      </x:c>
      <x:c r="D57" s="14" t="str">
        <x:v>Pricing exception request - Support Deflection Program</x:v>
      </x:c>
      <x:c r="E57" s="14" t="str">
        <x:v>ServiceNow</x:v>
      </x:c>
      <x:c r="F57" s="14" t="str">
        <x:v>Support Deflection Program</x:v>
      </x:c>
      <x:c r="G57" s="14" t="str">
        <x:v>D006</x:v>
      </x:c>
      <x:c r="H57" s="16" t="str">
        <x:v>2026-04-25 15:00:00</x:v>
      </x:c>
      <x:c r="I57" s="16" t="str">
        <x:v>2026-05-02 18:00:00</x:v>
      </x:c>
      <x:c r="J57" s="14" t="str">
        <x:v>Open</x:v>
      </x:c>
      <x:c r="K57" s="14" t="str">
        <x:v>Internal</x:v>
      </x:c>
    </x:row>
    <x:row r="58">
      <x:c r="A58" s="14" t="str">
        <x:v>C0057</x:v>
      </x:c>
      <x:c r="B58" s="14" t="str">
        <x:v>S001</x:v>
      </x:c>
      <x:c r="C58" s="14" t="str">
        <x:v>SLA-20260057</x:v>
      </x:c>
      <x:c r="D58" s="14" t="str">
        <x:v>Security remediation stand-up - Revenue Forecast Automation</x:v>
      </x:c>
      <x:c r="E58" s="14" t="str">
        <x:v>#product-delivery</x:v>
      </x:c>
      <x:c r="F58" s="14" t="str">
        <x:v>Revenue Forecast Automation</x:v>
      </x:c>
      <x:c r="G58" s="14" t="str">
        <x:v>D001</x:v>
      </x:c>
      <x:c r="H58" s="16" t="str">
        <x:v>2026-04-27 09:00:00</x:v>
      </x:c>
      <x:c r="I58" s="16" t="str">
        <x:v>2026-04-30 07:00:00</x:v>
      </x:c>
      <x:c r="J58" s="14" t="str">
        <x:v>Resolved</x:v>
      </x:c>
      <x:c r="K58" s="14" t="str">
        <x:v>Internal</x:v>
      </x:c>
    </x:row>
    <x:row r="59">
      <x:c r="A59" s="14" t="str">
        <x:v>C0058</x:v>
      </x:c>
      <x:c r="B59" s="14" t="str">
        <x:v>S002</x:v>
      </x:c>
      <x:c r="C59" s="14" t="str">
        <x:v>MIC-20260058</x:v>
      </x:c>
      <x:c r="D59" s="14" t="str">
        <x:v>Renewal risk review - Identity Access Cleanup</x:v>
      </x:c>
      <x:c r="E59" s="14" t="str">
        <x:v>#eng-release</x:v>
      </x:c>
      <x:c r="F59" s="14" t="str">
        <x:v>Identity Access Cleanup</x:v>
      </x:c>
      <x:c r="G59" s="14" t="str">
        <x:v>D004</x:v>
      </x:c>
      <x:c r="H59" s="16" t="str">
        <x:v>2026-04-29 10:00:00</x:v>
      </x:c>
      <x:c r="I59" s="16" t="str">
        <x:v>2026-05-01 19:00:00</x:v>
      </x:c>
      <x:c r="J59" s="14" t="str">
        <x:v>Resolved</x:v>
      </x:c>
      <x:c r="K59" s="14" t="str">
        <x:v>Confidential</x:v>
      </x:c>
    </x:row>
    <x:row r="60">
      <x:c r="A60" s="14" t="str">
        <x:v>C0059</x:v>
      </x:c>
      <x:c r="B60" s="14" t="str">
        <x:v>S003</x:v>
      </x:c>
      <x:c r="C60" s="14" t="str">
        <x:v>GMA-20260059</x:v>
      </x:c>
      <x:c r="D60" s="14" t="str">
        <x:v>Executive action review - Employee Listening Initiative</x:v>
      </x:c>
      <x:c r="E60" s="14" t="str">
        <x:v>Gmail</x:v>
      </x:c>
      <x:c r="F60" s="14" t="str">
        <x:v>Employee Listening Initiative</x:v>
      </x:c>
      <x:c r="G60" s="14" t="str">
        <x:v>D007</x:v>
      </x:c>
      <x:c r="H60" s="16" t="str">
        <x:v>2026-05-01 11:00:00</x:v>
      </x:c>
      <x:c r="I60" s="16" t="str">
        <x:v>2026-05-08 22:00:00</x:v>
      </x:c>
      <x:c r="J60" s="14" t="str">
        <x:v>Resolved</x:v>
      </x:c>
      <x:c r="K60" s="14" t="str">
        <x:v>Internal</x:v>
      </x:c>
    </x:row>
    <x:row r="61">
      <x:c r="A61" s="14" t="str">
        <x:v>C0060</x:v>
      </x:c>
      <x:c r="B61" s="14" t="str">
        <x:v>S004</x:v>
      </x:c>
      <x:c r="C61" s="14" t="str">
        <x:v>ZOO-20260060</x:v>
      </x:c>
      <x:c r="D61" s="14" t="str">
        <x:v>Operational handoff - Cloud Cost Optimization</x:v>
      </x:c>
      <x:c r="E61" s="14" t="str">
        <x:v>Zoom</x:v>
      </x:c>
      <x:c r="F61" s="14" t="str">
        <x:v>Cloud Cost Optimization</x:v>
      </x:c>
      <x:c r="G61" s="14" t="str">
        <x:v>D002</x:v>
      </x:c>
      <x:c r="H61" s="16" t="str">
        <x:v>2026-05-03 12:00:00</x:v>
      </x:c>
      <x:c r="I61" s="16" t="str">
        <x:v>2026-05-10 18:00:00</x:v>
      </x:c>
      <x:c r="J61" s="14" t="str">
        <x:v>Open</x:v>
      </x:c>
      <x:c r="K61" s="14" t="str">
        <x:v>Internal</x:v>
      </x:c>
    </x:row>
  </x:sheetData>
  <x:pageMargins left="0.7" right="0.7" top="0.75" bottom="0.75" header="0.3" footer="0.3"/>
  <x:tableParts count="1">
    <x:tablePart xmlns:r="http://schemas.openxmlformats.org/officeDocument/2006/relationships" r:id="Re34c5096374a43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28" hidden="0" customWidth="1"/>
    <x:col min="6" max="6" width="16" hidden="0" customWidth="1"/>
    <x:col min="7" max="7" width="16" hidden="0" customWidth="1"/>
    <x:col min="8" max="8" width="19" hidden="0" customWidth="1"/>
    <x:col min="9" max="9" width="16" hidden="0" customWidth="1"/>
  </x:cols>
  <x:sheetData>
    <x:row r="1" ht="28" customHeight="1">
      <x:c r="A1" s="6" t="str">
        <x:v>message_id</x:v>
      </x:c>
      <x:c r="B1" s="6" t="str">
        <x:v>conversation_id</x:v>
      </x:c>
      <x:c r="C1" s="6" t="str">
        <x:v>sender_employee_id</x:v>
      </x:c>
      <x:c r="D1" s="6" t="str">
        <x:v>message_ts</x:v>
      </x:c>
      <x:c r="E1" s="6" t="str">
        <x:v>message_text</x:v>
      </x:c>
      <x:c r="F1" s="6" t="str">
        <x:v>message_language</x:v>
      </x:c>
      <x:c r="G1" s="6" t="str">
        <x:v>has_attachment</x:v>
      </x:c>
      <x:c r="H1" s="6" t="str">
        <x:v>ingestion_ts</x:v>
      </x:c>
      <x:c r="I1" s="6" t="str">
        <x:v>content_hash</x:v>
      </x:c>
    </x:row>
    <x:row r="2">
      <x:c r="A2" s="14" t="str">
        <x:v>M00001</x:v>
      </x:c>
      <x:c r="B2" s="14" t="str">
        <x:v>C0001</x:v>
      </x:c>
      <x:c r="C2" s="14" t="str">
        <x:v>E001</x:v>
      </x:c>
      <x:c r="D2" s="16" t="str">
        <x:v>2026-01-05 12:00:00</x:v>
      </x:c>
      <x:c r="E2" s="14" t="str">
        <x:v>I will send the revised analysis by Tuesday.</x:v>
      </x:c>
      <x:c r="F2" s="14" t="str">
        <x:v>en</x:v>
      </x:c>
      <x:c r="G2" s="14" t="n">
        <x:v>1</x:v>
      </x:c>
      <x:c r="H2" s="16" t="str">
        <x:v>2026-01-05 12:15:00</x:v>
      </x:c>
      <x:c r="I2" s="14" t="str">
        <x:v>HASH00100000</x:v>
      </x:c>
    </x:row>
    <x:row r="3">
      <x:c r="A3" s="14" t="str">
        <x:v>M00002</x:v>
      </x:c>
      <x:c r="B3" s="14" t="str">
        <x:v>C0002</x:v>
      </x:c>
      <x:c r="C3" s="14" t="str">
        <x:v>E008</x:v>
      </x:c>
      <x:c r="D3" s="16" t="str">
        <x:v>2026-01-07 17:00:00</x:v>
      </x:c>
      <x:c r="E3" s="14" t="str">
        <x:v>Engineering will complete the fix in the next sprint.</x:v>
      </x:c>
      <x:c r="F3" s="14" t="str">
        <x:v>en</x:v>
      </x:c>
      <x:c r="G3" s="14" t="n">
        <x:v>0</x:v>
      </x:c>
      <x:c r="H3" s="16" t="str">
        <x:v>2026-01-07 17:02:00</x:v>
      </x:c>
      <x:c r="I3" s="14" t="str">
        <x:v>HASH00100001</x:v>
      </x:c>
    </x:row>
    <x:row r="4">
      <x:c r="A4" s="14" t="str">
        <x:v>M00003</x:v>
      </x:c>
      <x:c r="B4" s="14" t="str">
        <x:v>C0003</x:v>
      </x:c>
      <x:c r="C4" s="14" t="str">
        <x:v>E015</x:v>
      </x:c>
      <x:c r="D4" s="16" t="str">
        <x:v>2026-01-09 20:00:00</x:v>
      </x:c>
      <x:c r="E4" s="14" t="str">
        <x:v>Let's revisit this after the security release.</x:v>
      </x:c>
      <x:c r="F4" s="14" t="str">
        <x:v>en</x:v>
      </x:c>
      <x:c r="G4" s="14" t="n">
        <x:v>0</x:v>
      </x:c>
      <x:c r="H4" s="16" t="str">
        <x:v>2026-01-09 20:04:00</x:v>
      </x:c>
      <x:c r="I4" s="14" t="str">
        <x:v>HASH00100002</x:v>
      </x:c>
    </x:row>
    <x:row r="5">
      <x:c r="A5" s="14" t="str">
        <x:v>M00004</x:v>
      </x:c>
      <x:c r="B5" s="14" t="str">
        <x:v>C0004</x:v>
      </x:c>
      <x:c r="C5" s="14" t="str">
        <x:v>E022</x:v>
      </x:c>
      <x:c r="D5" s="16" t="str">
        <x:v>2026-01-12 00:00:00</x:v>
      </x:c>
      <x:c r="E5" s="14" t="str">
        <x:v>I will get legal approval before end of week.</x:v>
      </x:c>
      <x:c r="F5" s="14" t="str">
        <x:v>en</x:v>
      </x:c>
      <x:c r="G5" s="14" t="n">
        <x:v>0</x:v>
      </x:c>
      <x:c r="H5" s="16" t="str">
        <x:v>2026-01-12 00:06:00</x:v>
      </x:c>
      <x:c r="I5" s="14" t="str">
        <x:v>HASH00100003</x:v>
      </x:c>
    </x:row>
    <x:row r="6">
      <x:c r="A6" s="14" t="str">
        <x:v>M00005</x:v>
      </x:c>
      <x:c r="B6" s="14" t="str">
        <x:v>C0005</x:v>
      </x:c>
      <x:c r="C6" s="14" t="str">
        <x:v>E029</x:v>
      </x:c>
      <x:c r="D6" s="16" t="str">
        <x:v>2026-01-14 05:00:00</x:v>
      </x:c>
      <x:c r="E6" s="14" t="str">
        <x:v>We will circle back next week with a decision.</x:v>
      </x:c>
      <x:c r="F6" s="14" t="str">
        <x:v>en</x:v>
      </x:c>
      <x:c r="G6" s="14" t="n">
        <x:v>0</x:v>
      </x:c>
      <x:c r="H6" s="16" t="str">
        <x:v>2026-01-14 05:10:00</x:v>
      </x:c>
      <x:c r="I6" s="14" t="str">
        <x:v>HASH00100004</x:v>
      </x:c>
    </x:row>
    <x:row r="7">
      <x:c r="A7" s="14" t="str">
        <x:v>M00006</x:v>
      </x:c>
      <x:c r="B7" s="14" t="str">
        <x:v>C0006</x:v>
      </x:c>
      <x:c r="C7" s="14" t="str">
        <x:v>E037</x:v>
      </x:c>
      <x:c r="D7" s="16" t="str">
        <x:v>2026-01-16 11:00:00</x:v>
      </x:c>
      <x:c r="E7" s="14" t="str">
        <x:v>Can you confirm the owner and close the open action?</x:v>
      </x:c>
      <x:c r="F7" s="14" t="str">
        <x:v>en</x:v>
      </x:c>
      <x:c r="G7" s="14" t="n">
        <x:v>0</x:v>
      </x:c>
      <x:c r="H7" s="16" t="str">
        <x:v>2026-01-16 11:10:00</x:v>
      </x:c>
      <x:c r="I7" s="14" t="str">
        <x:v>HASH00100005</x:v>
      </x:c>
    </x:row>
    <x:row r="8">
      <x:c r="A8" s="14" t="str">
        <x:v>M00007</x:v>
      </x:c>
      <x:c r="B8" s="14" t="str">
        <x:v>C0007</x:v>
      </x:c>
      <x:c r="C8" s="14" t="str">
        <x:v>E004</x:v>
      </x:c>
      <x:c r="D8" s="16" t="str">
        <x:v>2026-01-18 16:00:00</x:v>
      </x:c>
      <x:c r="E8" s="14" t="str">
        <x:v>The dependency is still blocked by vendor access.</x:v>
      </x:c>
      <x:c r="F8" s="14" t="str">
        <x:v>en</x:v>
      </x:c>
      <x:c r="G8" s="14" t="n">
        <x:v>0</x:v>
      </x:c>
      <x:c r="H8" s="16" t="str">
        <x:v>2026-01-18 16:01:00</x:v>
      </x:c>
      <x:c r="I8" s="14" t="str">
        <x:v>HASH00100006</x:v>
      </x:c>
    </x:row>
    <x:row r="9">
      <x:c r="A9" s="14" t="str">
        <x:v>M00008</x:v>
      </x:c>
      <x:c r="B9" s="14" t="str">
        <x:v>C0008</x:v>
      </x:c>
      <x:c r="C9" s="14" t="str">
        <x:v>E011</x:v>
      </x:c>
      <x:c r="D9" s="16" t="str">
        <x:v>2026-01-20 13:00:00</x:v>
      </x:c>
      <x:c r="E9" s="14" t="str">
        <x:v>I completed the draft and attached it for review.</x:v>
      </x:c>
      <x:c r="F9" s="14" t="str">
        <x:v>en</x:v>
      </x:c>
      <x:c r="G9" s="14" t="n">
        <x:v>0</x:v>
      </x:c>
      <x:c r="H9" s="16" t="str">
        <x:v>2026-01-20 13:12:00</x:v>
      </x:c>
      <x:c r="I9" s="14" t="str">
        <x:v>HASH00100007</x:v>
      </x:c>
    </x:row>
    <x:row r="10">
      <x:c r="A10" s="14" t="str">
        <x:v>M00009</x:v>
      </x:c>
      <x:c r="B10" s="14" t="str">
        <x:v>C0009</x:v>
      </x:c>
      <x:c r="C10" s="14" t="str">
        <x:v>E018</x:v>
      </x:c>
      <x:c r="D10" s="16" t="str">
        <x:v>2026-01-22 18:00:00</x:v>
      </x:c>
      <x:c r="E10" s="14" t="str">
        <x:v>We need to reassign this because the current owner is on leave.</x:v>
      </x:c>
      <x:c r="F10" s="14" t="str">
        <x:v>en</x:v>
      </x:c>
      <x:c r="G10" s="14" t="n">
        <x:v>0</x:v>
      </x:c>
      <x:c r="H10" s="16" t="str">
        <x:v>2026-01-22 18:04:00</x:v>
      </x:c>
      <x:c r="I10" s="14" t="str">
        <x:v>HASH00100008</x:v>
      </x:c>
    </x:row>
    <x:row r="11">
      <x:c r="A11" s="14" t="str">
        <x:v>M00010</x:v>
      </x:c>
      <x:c r="B11" s="14" t="str">
        <x:v>C0010</x:v>
      </x:c>
      <x:c r="C11" s="14" t="str">
        <x:v>E025</x:v>
      </x:c>
      <x:c r="D11" s="16" t="str">
        <x:v>2026-01-23 11:00:00</x:v>
      </x:c>
      <x:c r="E11" s="14" t="str">
        <x:v>Please escalate if there is no response within 48 hours.</x:v>
      </x:c>
      <x:c r="F11" s="14" t="str">
        <x:v>en</x:v>
      </x:c>
      <x:c r="G11" s="14" t="n">
        <x:v>0</x:v>
      </x:c>
      <x:c r="H11" s="16" t="str">
        <x:v>2026-01-23 11:15:00</x:v>
      </x:c>
      <x:c r="I11" s="14" t="str">
        <x:v>HASH00100009</x:v>
      </x:c>
    </x:row>
    <x:row r="12">
      <x:c r="A12" s="14" t="str">
        <x:v>M00011</x:v>
      </x:c>
      <x:c r="B12" s="14" t="str">
        <x:v>C0011</x:v>
      </x:c>
      <x:c r="C12" s="14" t="str">
        <x:v>E033</x:v>
      </x:c>
      <x:c r="D12" s="16" t="str">
        <x:v>2026-01-25 16:00:00</x:v>
      </x:c>
      <x:c r="E12" s="14" t="str">
        <x:v>The customer expects an update by end of day.</x:v>
      </x:c>
      <x:c r="F12" s="14" t="str">
        <x:v>en</x:v>
      </x:c>
      <x:c r="G12" s="14" t="n">
        <x:v>0</x:v>
      </x:c>
      <x:c r="H12" s="16" t="str">
        <x:v>2026-01-25 16:14:00</x:v>
      </x:c>
      <x:c r="I12" s="14" t="str">
        <x:v>HASH00100010</x:v>
      </x:c>
    </x:row>
    <x:row r="13">
      <x:c r="A13" s="14" t="str">
        <x:v>M00012</x:v>
      </x:c>
      <x:c r="B13" s="14" t="str">
        <x:v>C0012</x:v>
      </x:c>
      <x:c r="C13" s="14" t="str">
        <x:v>E040</x:v>
      </x:c>
      <x:c r="D13" s="16" t="str">
        <x:v>2026-01-27 23:00:00</x:v>
      </x:c>
      <x:c r="E13" s="14" t="str">
        <x:v>No action is required until finance validates the forecast.</x:v>
      </x:c>
      <x:c r="F13" s="14" t="str">
        <x:v>en</x:v>
      </x:c>
      <x:c r="G13" s="14" t="n">
        <x:v>1</x:v>
      </x:c>
      <x:c r="H13" s="16" t="str">
        <x:v>2026-01-27 23:02:00</x:v>
      </x:c>
      <x:c r="I13" s="14" t="str">
        <x:v>HASH00100011</x:v>
      </x:c>
    </x:row>
    <x:row r="14">
      <x:c r="A14" s="14" t="str">
        <x:v>M00013</x:v>
      </x:c>
      <x:c r="B14" s="14" t="str">
        <x:v>C0013</x:v>
      </x:c>
      <x:c r="C14" s="14" t="str">
        <x:v>E007</x:v>
      </x:c>
      <x:c r="D14" s="16" t="str">
        <x:v>2026-01-30 03:00:00</x:v>
      </x:c>
      <x:c r="E14" s="14" t="str">
        <x:v>I will send the revised analysis by Friday.</x:v>
      </x:c>
      <x:c r="F14" s="14" t="str">
        <x:v>en</x:v>
      </x:c>
      <x:c r="G14" s="14" t="n">
        <x:v>0</x:v>
      </x:c>
      <x:c r="H14" s="16" t="str">
        <x:v>2026-01-30 03:05:00</x:v>
      </x:c>
      <x:c r="I14" s="14" t="str">
        <x:v>HASH00100012</x:v>
      </x:c>
    </x:row>
    <x:row r="15">
      <x:c r="A15" s="14" t="str">
        <x:v>M00014</x:v>
      </x:c>
      <x:c r="B15" s="14" t="str">
        <x:v>C0014</x:v>
      </x:c>
      <x:c r="C15" s="14" t="str">
        <x:v>E014</x:v>
      </x:c>
      <x:c r="D15" s="16" t="str">
        <x:v>2026-02-01 10:00:00</x:v>
      </x:c>
      <x:c r="E15" s="14" t="str">
        <x:v>Engineering will complete the fix in the next sprint.</x:v>
      </x:c>
      <x:c r="F15" s="14" t="str">
        <x:v>en</x:v>
      </x:c>
      <x:c r="G15" s="14" t="n">
        <x:v>0</x:v>
      </x:c>
      <x:c r="H15" s="16" t="str">
        <x:v>2026-02-01 10:04:00</x:v>
      </x:c>
      <x:c r="I15" s="14" t="str">
        <x:v>HASH00100013</x:v>
      </x:c>
    </x:row>
    <x:row r="16">
      <x:c r="A16" s="14" t="str">
        <x:v>M00015</x:v>
      </x:c>
      <x:c r="B16" s="14" t="str">
        <x:v>C0015</x:v>
      </x:c>
      <x:c r="C16" s="14" t="str">
        <x:v>E021</x:v>
      </x:c>
      <x:c r="D16" s="16" t="str">
        <x:v>2026-02-03 06:00:00</x:v>
      </x:c>
      <x:c r="E16" s="14" t="str">
        <x:v>Let's revisit this after the production release.</x:v>
      </x:c>
      <x:c r="F16" s="14" t="str">
        <x:v>en</x:v>
      </x:c>
      <x:c r="G16" s="14" t="n">
        <x:v>0</x:v>
      </x:c>
      <x:c r="H16" s="16" t="str">
        <x:v>2026-02-03 06:12:00</x:v>
      </x:c>
      <x:c r="I16" s="14" t="str">
        <x:v>HASH00100014</x:v>
      </x:c>
    </x:row>
    <x:row r="17">
      <x:c r="A17" s="14" t="str">
        <x:v>M00016</x:v>
      </x:c>
      <x:c r="B17" s="14" t="str">
        <x:v>C0016</x:v>
      </x:c>
      <x:c r="C17" s="14" t="str">
        <x:v>E029</x:v>
      </x:c>
      <x:c r="D17" s="16" t="str">
        <x:v>2026-02-05 13:00:00</x:v>
      </x:c>
      <x:c r="E17" s="14" t="str">
        <x:v>I will get legal approval before Tuesday.</x:v>
      </x:c>
      <x:c r="F17" s="14" t="str">
        <x:v>en</x:v>
      </x:c>
      <x:c r="G17" s="14" t="n">
        <x:v>0</x:v>
      </x:c>
      <x:c r="H17" s="16" t="str">
        <x:v>2026-02-05 13:04:00</x:v>
      </x:c>
      <x:c r="I17" s="14" t="str">
        <x:v>HASH00100015</x:v>
      </x:c>
    </x:row>
    <x:row r="18">
      <x:c r="A18" s="14" t="str">
        <x:v>M00017</x:v>
      </x:c>
      <x:c r="B18" s="14" t="str">
        <x:v>C0017</x:v>
      </x:c>
      <x:c r="C18" s="14" t="str">
        <x:v>E036</x:v>
      </x:c>
      <x:c r="D18" s="16" t="str">
        <x:v>2026-02-07 18:00:00</x:v>
      </x:c>
      <x:c r="E18" s="14" t="str">
        <x:v>We will circle back next week with a decision.</x:v>
      </x:c>
      <x:c r="F18" s="14" t="str">
        <x:v>en</x:v>
      </x:c>
      <x:c r="G18" s="14" t="n">
        <x:v>0</x:v>
      </x:c>
      <x:c r="H18" s="16" t="str">
        <x:v>2026-02-07 18:13:00</x:v>
      </x:c>
      <x:c r="I18" s="14" t="str">
        <x:v>HASH00100016</x:v>
      </x:c>
    </x:row>
    <x:row r="19">
      <x:c r="A19" s="14" t="str">
        <x:v>M00018</x:v>
      </x:c>
      <x:c r="B19" s="14" t="str">
        <x:v>C0018</x:v>
      </x:c>
      <x:c r="C19" s="14" t="str">
        <x:v>E003</x:v>
      </x:c>
      <x:c r="D19" s="16" t="str">
        <x:v>2026-02-09 23:00:00</x:v>
      </x:c>
      <x:c r="E19" s="14" t="str">
        <x:v>Can you confirm the owner and close the open action?</x:v>
      </x:c>
      <x:c r="F19" s="14" t="str">
        <x:v>en</x:v>
      </x:c>
      <x:c r="G19" s="14" t="n">
        <x:v>0</x:v>
      </x:c>
      <x:c r="H19" s="16" t="str">
        <x:v>2026-02-09 23:04:00</x:v>
      </x:c>
      <x:c r="I19" s="14" t="str">
        <x:v>HASH00100017</x:v>
      </x:c>
    </x:row>
    <x:row r="20">
      <x:c r="A20" s="14" t="str">
        <x:v>M00019</x:v>
      </x:c>
      <x:c r="B20" s="14" t="str">
        <x:v>C0019</x:v>
      </x:c>
      <x:c r="C20" s="14" t="str">
        <x:v>E010</x:v>
      </x:c>
      <x:c r="D20" s="16" t="str">
        <x:v>2026-02-10 13:00:00</x:v>
      </x:c>
      <x:c r="E20" s="14" t="str">
        <x:v>The dependency is still blocked by vendor access.</x:v>
      </x:c>
      <x:c r="F20" s="14" t="str">
        <x:v>en</x:v>
      </x:c>
      <x:c r="G20" s="14" t="n">
        <x:v>0</x:v>
      </x:c>
      <x:c r="H20" s="16" t="str">
        <x:v>2026-02-10 13:02:00</x:v>
      </x:c>
      <x:c r="I20" s="14" t="str">
        <x:v>HASH00100018</x:v>
      </x:c>
    </x:row>
    <x:row r="21">
      <x:c r="A21" s="14" t="str">
        <x:v>M00020</x:v>
      </x:c>
      <x:c r="B21" s="14" t="str">
        <x:v>C0020</x:v>
      </x:c>
      <x:c r="C21" s="14" t="str">
        <x:v>E017</x:v>
      </x:c>
      <x:c r="D21" s="16" t="str">
        <x:v>2026-02-12 21:00:00</x:v>
      </x:c>
      <x:c r="E21" s="14" t="str">
        <x:v>I completed the draft and attached it for review.</x:v>
      </x:c>
      <x:c r="F21" s="14" t="str">
        <x:v>en</x:v>
      </x:c>
      <x:c r="G21" s="14" t="n">
        <x:v>0</x:v>
      </x:c>
      <x:c r="H21" s="16" t="str">
        <x:v>2026-02-12 21:06:00</x:v>
      </x:c>
      <x:c r="I21" s="14" t="str">
        <x:v>HASH00100019</x:v>
      </x:c>
    </x:row>
    <x:row r="22">
      <x:c r="A22" s="14" t="str">
        <x:v>M00021</x:v>
      </x:c>
      <x:c r="B22" s="14" t="str">
        <x:v>C0021</x:v>
      </x:c>
      <x:c r="C22" s="14" t="str">
        <x:v>E025</x:v>
      </x:c>
      <x:c r="D22" s="16" t="str">
        <x:v>2026-02-15 02:00:00</x:v>
      </x:c>
      <x:c r="E22" s="14" t="str">
        <x:v>We need to reassign this because the current owner is on leave.</x:v>
      </x:c>
      <x:c r="F22" s="14" t="str">
        <x:v>en</x:v>
      </x:c>
      <x:c r="G22" s="14" t="n">
        <x:v>0</x:v>
      </x:c>
      <x:c r="H22" s="16" t="str">
        <x:v>2026-02-15 02:07:00</x:v>
      </x:c>
      <x:c r="I22" s="14" t="str">
        <x:v>HASH00100020</x:v>
      </x:c>
    </x:row>
    <x:row r="23">
      <x:c r="A23" s="14" t="str">
        <x:v>M00022</x:v>
      </x:c>
      <x:c r="B23" s="14" t="str">
        <x:v>C0022</x:v>
      </x:c>
      <x:c r="C23" s="14" t="str">
        <x:v>E032</x:v>
      </x:c>
      <x:c r="D23" s="16" t="str">
        <x:v>2026-02-17 00:00:00</x:v>
      </x:c>
      <x:c r="E23" s="14" t="str">
        <x:v>Please escalate if there is no response within 48 hours.</x:v>
      </x:c>
      <x:c r="F23" s="14" t="str">
        <x:v>en</x:v>
      </x:c>
      <x:c r="G23" s="14" t="n">
        <x:v>0</x:v>
      </x:c>
      <x:c r="H23" s="16" t="str">
        <x:v>2026-02-17 00:14:00</x:v>
      </x:c>
      <x:c r="I23" s="14" t="str">
        <x:v>HASH00100021</x:v>
      </x:c>
    </x:row>
    <x:row r="24">
      <x:c r="A24" s="14" t="str">
        <x:v>M00023</x:v>
      </x:c>
      <x:c r="B24" s="14" t="str">
        <x:v>C0023</x:v>
      </x:c>
      <x:c r="C24" s="14" t="str">
        <x:v>E039</x:v>
      </x:c>
      <x:c r="D24" s="16" t="str">
        <x:v>2026-02-19 02:00:00</x:v>
      </x:c>
      <x:c r="E24" s="14" t="str">
        <x:v>The customer expects an update by end of day.</x:v>
      </x:c>
      <x:c r="F24" s="14" t="str">
        <x:v>en</x:v>
      </x:c>
      <x:c r="G24" s="14" t="n">
        <x:v>1</x:v>
      </x:c>
      <x:c r="H24" s="16" t="str">
        <x:v>2026-02-19 02:11:00</x:v>
      </x:c>
      <x:c r="I24" s="14" t="str">
        <x:v>HASH00100022</x:v>
      </x:c>
    </x:row>
    <x:row r="25">
      <x:c r="A25" s="14" t="str">
        <x:v>M00024</x:v>
      </x:c>
      <x:c r="B25" s="14" t="str">
        <x:v>C0024</x:v>
      </x:c>
      <x:c r="C25" s="14" t="str">
        <x:v>E006</x:v>
      </x:c>
      <x:c r="D25" s="16" t="str">
        <x:v>2026-02-21 07:00:00</x:v>
      </x:c>
      <x:c r="E25" s="14" t="str">
        <x:v>No action is required until finance validates the forecast.</x:v>
      </x:c>
      <x:c r="F25" s="14" t="str">
        <x:v>en</x:v>
      </x:c>
      <x:c r="G25" s="14" t="n">
        <x:v>0</x:v>
      </x:c>
      <x:c r="H25" s="16" t="str">
        <x:v>2026-02-21 07:01:00</x:v>
      </x:c>
      <x:c r="I25" s="14" t="str">
        <x:v>HASH00100023</x:v>
      </x:c>
    </x:row>
    <x:row r="26">
      <x:c r="A26" s="14" t="str">
        <x:v>M00025</x:v>
      </x:c>
      <x:c r="B26" s="14" t="str">
        <x:v>C0025</x:v>
      </x:c>
      <x:c r="C26" s="14" t="str">
        <x:v>E013</x:v>
      </x:c>
      <x:c r="D26" s="16" t="str">
        <x:v>2026-02-23 15:00:00</x:v>
      </x:c>
      <x:c r="E26" s="14" t="str">
        <x:v>I will send the revised analysis by July 31.</x:v>
      </x:c>
      <x:c r="F26" s="14" t="str">
        <x:v>en</x:v>
      </x:c>
      <x:c r="G26" s="14" t="n">
        <x:v>0</x:v>
      </x:c>
      <x:c r="H26" s="16" t="str">
        <x:v>2026-02-23 15:12:00</x:v>
      </x:c>
      <x:c r="I26" s="14" t="str">
        <x:v>HASH00100024</x:v>
      </x:c>
    </x:row>
    <x:row r="27">
      <x:c r="A27" s="14" t="str">
        <x:v>M00026</x:v>
      </x:c>
      <x:c r="B27" s="14" t="str">
        <x:v>C0026</x:v>
      </x:c>
      <x:c r="C27" s="14" t="str">
        <x:v>E021</x:v>
      </x:c>
      <x:c r="D27" s="16" t="str">
        <x:v>2026-02-25 19:00:00</x:v>
      </x:c>
      <x:c r="E27" s="14" t="str">
        <x:v>Engineering will complete the fix in the next sprint.</x:v>
      </x:c>
      <x:c r="F27" s="14" t="str">
        <x:v>en</x:v>
      </x:c>
      <x:c r="G27" s="14" t="n">
        <x:v>0</x:v>
      </x:c>
      <x:c r="H27" s="16" t="str">
        <x:v>2026-02-25 19:13:00</x:v>
      </x:c>
      <x:c r="I27" s="14" t="str">
        <x:v>HASH00100025</x:v>
      </x:c>
    </x:row>
    <x:row r="28">
      <x:c r="A28" s="14" t="str">
        <x:v>M00027</x:v>
      </x:c>
      <x:c r="B28" s="14" t="str">
        <x:v>C0027</x:v>
      </x:c>
      <x:c r="C28" s="14" t="str">
        <x:v>E028</x:v>
      </x:c>
      <x:c r="D28" s="16" t="str">
        <x:v>2026-02-27 22:00:00</x:v>
      </x:c>
      <x:c r="E28" s="14" t="str">
        <x:v>Let's revisit this after the pilot release.</x:v>
      </x:c>
      <x:c r="F28" s="14" t="str">
        <x:v>en</x:v>
      </x:c>
      <x:c r="G28" s="14" t="n">
        <x:v>0</x:v>
      </x:c>
      <x:c r="H28" s="16" t="str">
        <x:v>2026-02-27 22:04:00</x:v>
      </x:c>
      <x:c r="I28" s="14" t="str">
        <x:v>HASH00100026</x:v>
      </x:c>
    </x:row>
    <x:row r="29">
      <x:c r="A29" s="14" t="str">
        <x:v>M00028</x:v>
      </x:c>
      <x:c r="B29" s="14" t="str">
        <x:v>C0028</x:v>
      </x:c>
      <x:c r="C29" s="14" t="str">
        <x:v>E035</x:v>
      </x:c>
      <x:c r="D29" s="16" t="str">
        <x:v>2026-02-28 16:00:00</x:v>
      </x:c>
      <x:c r="E29" s="14" t="str">
        <x:v>I will get legal approval before Friday.</x:v>
      </x:c>
      <x:c r="F29" s="14" t="str">
        <x:v>en</x:v>
      </x:c>
      <x:c r="G29" s="14" t="n">
        <x:v>0</x:v>
      </x:c>
      <x:c r="H29" s="16" t="str">
        <x:v>2026-02-28 16:04:00</x:v>
      </x:c>
      <x:c r="I29" s="14" t="str">
        <x:v>HASH00100027</x:v>
      </x:c>
    </x:row>
    <x:row r="30">
      <x:c r="A30" s="14" t="str">
        <x:v>M00029</x:v>
      </x:c>
      <x:c r="B30" s="14" t="str">
        <x:v>C0029</x:v>
      </x:c>
      <x:c r="C30" s="14" t="str">
        <x:v>E002</x:v>
      </x:c>
      <x:c r="D30" s="16" t="str">
        <x:v>2026-03-02 16:00:00</x:v>
      </x:c>
      <x:c r="E30" s="14" t="str">
        <x:v>We will circle back next week with a decision.</x:v>
      </x:c>
      <x:c r="F30" s="14" t="str">
        <x:v>en</x:v>
      </x:c>
      <x:c r="G30" s="14" t="n">
        <x:v>0</x:v>
      </x:c>
      <x:c r="H30" s="16" t="str">
        <x:v>2026-03-02 16:03:00</x:v>
      </x:c>
      <x:c r="I30" s="14" t="str">
        <x:v>HASH00100028</x:v>
      </x:c>
    </x:row>
    <x:row r="31">
      <x:c r="A31" s="14" t="str">
        <x:v>M00030</x:v>
      </x:c>
      <x:c r="B31" s="14" t="str">
        <x:v>C0030</x:v>
      </x:c>
      <x:c r="C31" s="14" t="str">
        <x:v>E009</x:v>
      </x:c>
      <x:c r="D31" s="16" t="str">
        <x:v>2026-03-04 21:00:00</x:v>
      </x:c>
      <x:c r="E31" s="14" t="str">
        <x:v>Can you confirm the owner and close the open action?</x:v>
      </x:c>
      <x:c r="F31" s="14" t="str">
        <x:v>en</x:v>
      </x:c>
      <x:c r="G31" s="14" t="n">
        <x:v>0</x:v>
      </x:c>
      <x:c r="H31" s="16" t="str">
        <x:v>2026-03-04 21:03:00</x:v>
      </x:c>
      <x:c r="I31" s="14" t="str">
        <x:v>HASH00100029</x:v>
      </x:c>
    </x:row>
    <x:row r="32">
      <x:c r="A32" s="14" t="str">
        <x:v>M00031</x:v>
      </x:c>
      <x:c r="B32" s="14" t="str">
        <x:v>C0031</x:v>
      </x:c>
      <x:c r="C32" s="14" t="str">
        <x:v>E017</x:v>
      </x:c>
      <x:c r="D32" s="16" t="str">
        <x:v>2026-03-07 01:00:00</x:v>
      </x:c>
      <x:c r="E32" s="14" t="str">
        <x:v>The dependency is still blocked by vendor access.</x:v>
      </x:c>
      <x:c r="F32" s="14" t="str">
        <x:v>en</x:v>
      </x:c>
      <x:c r="G32" s="14" t="n">
        <x:v>0</x:v>
      </x:c>
      <x:c r="H32" s="16" t="str">
        <x:v>2026-03-07 01:08:00</x:v>
      </x:c>
      <x:c r="I32" s="14" t="str">
        <x:v>HASH00100030</x:v>
      </x:c>
    </x:row>
    <x:row r="33">
      <x:c r="A33" s="14" t="str">
        <x:v>M00032</x:v>
      </x:c>
      <x:c r="B33" s="14" t="str">
        <x:v>C0032</x:v>
      </x:c>
      <x:c r="C33" s="14" t="str">
        <x:v>E024</x:v>
      </x:c>
      <x:c r="D33" s="16" t="str">
        <x:v>2026-03-09 05:00:00</x:v>
      </x:c>
      <x:c r="E33" s="14" t="str">
        <x:v>I completed the draft and attached it for review.</x:v>
      </x:c>
      <x:c r="F33" s="14" t="str">
        <x:v>en</x:v>
      </x:c>
      <x:c r="G33" s="14" t="n">
        <x:v>0</x:v>
      </x:c>
      <x:c r="H33" s="16" t="str">
        <x:v>2026-03-09 05:14:00</x:v>
      </x:c>
      <x:c r="I33" s="14" t="str">
        <x:v>HASH00100031</x:v>
      </x:c>
    </x:row>
    <x:row r="34">
      <x:c r="A34" s="14" t="str">
        <x:v>M00033</x:v>
      </x:c>
      <x:c r="B34" s="14" t="str">
        <x:v>C0033</x:v>
      </x:c>
      <x:c r="C34" s="14" t="str">
        <x:v>E031</x:v>
      </x:c>
      <x:c r="D34" s="16" t="str">
        <x:v>2026-03-11 09:00:00</x:v>
      </x:c>
      <x:c r="E34" s="14" t="str">
        <x:v>We need to reassign this because the current owner is on leave.</x:v>
      </x:c>
      <x:c r="F34" s="14" t="str">
        <x:v>en</x:v>
      </x:c>
      <x:c r="G34" s="14" t="n">
        <x:v>0</x:v>
      </x:c>
      <x:c r="H34" s="16" t="str">
        <x:v>2026-03-11 09:08:00</x:v>
      </x:c>
      <x:c r="I34" s="14" t="str">
        <x:v>HASH00100032</x:v>
      </x:c>
    </x:row>
    <x:row r="35">
      <x:c r="A35" s="14" t="str">
        <x:v>M00034</x:v>
      </x:c>
      <x:c r="B35" s="14" t="str">
        <x:v>C0034</x:v>
      </x:c>
      <x:c r="C35" s="14" t="str">
        <x:v>E038</x:v>
      </x:c>
      <x:c r="D35" s="16" t="str">
        <x:v>2026-03-13 14:00:00</x:v>
      </x:c>
      <x:c r="E35" s="14" t="str">
        <x:v>Please escalate if there is no response within 48 hours.</x:v>
      </x:c>
      <x:c r="F35" s="14" t="str">
        <x:v>en</x:v>
      </x:c>
      <x:c r="G35" s="14" t="n">
        <x:v>1</x:v>
      </x:c>
      <x:c r="H35" s="16" t="str">
        <x:v>2026-03-13 14:01:00</x:v>
      </x:c>
      <x:c r="I35" s="14" t="str">
        <x:v>HASH00100033</x:v>
      </x:c>
    </x:row>
    <x:row r="36">
      <x:c r="A36" s="14" t="str">
        <x:v>M00035</x:v>
      </x:c>
      <x:c r="B36" s="14" t="str">
        <x:v>C0035</x:v>
      </x:c>
      <x:c r="C36" s="14" t="str">
        <x:v>E005</x:v>
      </x:c>
      <x:c r="D36" s="16" t="str">
        <x:v>2026-03-15 19:00:00</x:v>
      </x:c>
      <x:c r="E36" s="14" t="str">
        <x:v>The customer expects an update by end of day.</x:v>
      </x:c>
      <x:c r="F36" s="14" t="str">
        <x:v>en</x:v>
      </x:c>
      <x:c r="G36" s="14" t="n">
        <x:v>0</x:v>
      </x:c>
      <x:c r="H36" s="16" t="str">
        <x:v>2026-03-15 19:02:00</x:v>
      </x:c>
      <x:c r="I36" s="14" t="str">
        <x:v>HASH00100034</x:v>
      </x:c>
    </x:row>
    <x:row r="37">
      <x:c r="A37" s="14" t="str">
        <x:v>M00036</x:v>
      </x:c>
      <x:c r="B37" s="14" t="str">
        <x:v>C0036</x:v>
      </x:c>
      <x:c r="C37" s="14" t="str">
        <x:v>E013</x:v>
      </x:c>
      <x:c r="D37" s="16" t="str">
        <x:v>2026-03-17 18:00:00</x:v>
      </x:c>
      <x:c r="E37" s="14" t="str">
        <x:v>No action is required until finance validates the forecast.</x:v>
      </x:c>
      <x:c r="F37" s="14" t="str">
        <x:v>en</x:v>
      </x:c>
      <x:c r="G37" s="14" t="n">
        <x:v>0</x:v>
      </x:c>
      <x:c r="H37" s="16" t="str">
        <x:v>2026-03-17 18:03:00</x:v>
      </x:c>
      <x:c r="I37" s="14" t="str">
        <x:v>HASH00100035</x:v>
      </x:c>
    </x:row>
    <x:row r="38">
      <x:c r="A38" s="14" t="str">
        <x:v>M00037</x:v>
      </x:c>
      <x:c r="B38" s="14" t="str">
        <x:v>C0037</x:v>
      </x:c>
      <x:c r="C38" s="14" t="str">
        <x:v>E020</x:v>
      </x:c>
      <x:c r="D38" s="16" t="str">
        <x:v>2026-03-18 13:00:00</x:v>
      </x:c>
      <x:c r="E38" s="14" t="str">
        <x:v>I will send the revised analysis by Wednesday.</x:v>
      </x:c>
      <x:c r="F38" s="14" t="str">
        <x:v>en</x:v>
      </x:c>
      <x:c r="G38" s="14" t="n">
        <x:v>0</x:v>
      </x:c>
      <x:c r="H38" s="16" t="str">
        <x:v>2026-03-18 13:08:00</x:v>
      </x:c>
      <x:c r="I38" s="14" t="str">
        <x:v>HASH00100036</x:v>
      </x:c>
    </x:row>
    <x:row r="39">
      <x:c r="A39" s="14" t="str">
        <x:v>M00038</x:v>
      </x:c>
      <x:c r="B39" s="14" t="str">
        <x:v>C0038</x:v>
      </x:c>
      <x:c r="C39" s="14" t="str">
        <x:v>E027</x:v>
      </x:c>
      <x:c r="D39" s="16" t="str">
        <x:v>2026-03-20 18:00:00</x:v>
      </x:c>
      <x:c r="E39" s="14" t="str">
        <x:v>Engineering will complete the fix in the next sprint.</x:v>
      </x:c>
      <x:c r="F39" s="14" t="str">
        <x:v>en</x:v>
      </x:c>
      <x:c r="G39" s="14" t="n">
        <x:v>0</x:v>
      </x:c>
      <x:c r="H39" s="16" t="str">
        <x:v>2026-03-20 18:04:00</x:v>
      </x:c>
      <x:c r="I39" s="14" t="str">
        <x:v>HASH00100037</x:v>
      </x:c>
    </x:row>
    <x:row r="40">
      <x:c r="A40" s="14" t="str">
        <x:v>M00039</x:v>
      </x:c>
      <x:c r="B40" s="14" t="str">
        <x:v>C0039</x:v>
      </x:c>
      <x:c r="C40" s="14" t="str">
        <x:v>E034</x:v>
      </x:c>
      <x:c r="D40" s="16" t="str">
        <x:v>2026-03-22 23:00:00</x:v>
      </x:c>
      <x:c r="E40" s="14" t="str">
        <x:v>Let's revisit this after the quarter-end release.</x:v>
      </x:c>
      <x:c r="F40" s="14" t="str">
        <x:v>en</x:v>
      </x:c>
      <x:c r="G40" s="14" t="n">
        <x:v>0</x:v>
      </x:c>
      <x:c r="H40" s="16" t="str">
        <x:v>2026-03-22 23:15:00</x:v>
      </x:c>
      <x:c r="I40" s="14" t="str">
        <x:v>HASH00100038</x:v>
      </x:c>
    </x:row>
    <x:row r="41">
      <x:c r="A41" s="14" t="str">
        <x:v>M00040</x:v>
      </x:c>
      <x:c r="B41" s="14" t="str">
        <x:v>C0040</x:v>
      </x:c>
      <x:c r="C41" s="14" t="str">
        <x:v>E001</x:v>
      </x:c>
      <x:c r="D41" s="16" t="str">
        <x:v>2026-03-25 01:00:00</x:v>
      </x:c>
      <x:c r="E41" s="14" t="str">
        <x:v>I will get legal approval before July 31.</x:v>
      </x:c>
      <x:c r="F41" s="14" t="str">
        <x:v>en</x:v>
      </x:c>
      <x:c r="G41" s="14" t="n">
        <x:v>0</x:v>
      </x:c>
      <x:c r="H41" s="16" t="str">
        <x:v>2026-03-25 01:03:00</x:v>
      </x:c>
      <x:c r="I41" s="14" t="str">
        <x:v>HASH00100039</x:v>
      </x:c>
    </x:row>
    <x:row r="42">
      <x:c r="A42" s="14" t="str">
        <x:v>M00041</x:v>
      </x:c>
      <x:c r="B42" s="14" t="str">
        <x:v>C0041</x:v>
      </x:c>
      <x:c r="C42" s="14" t="str">
        <x:v>E009</x:v>
      </x:c>
      <x:c r="D42" s="16" t="str">
        <x:v>2026-03-27 09:00:00</x:v>
      </x:c>
      <x:c r="E42" s="14" t="str">
        <x:v>We will circle back next week with a decision.</x:v>
      </x:c>
      <x:c r="F42" s="14" t="str">
        <x:v>en</x:v>
      </x:c>
      <x:c r="G42" s="14" t="n">
        <x:v>0</x:v>
      </x:c>
      <x:c r="H42" s="16" t="str">
        <x:v>2026-03-27 09:01:00</x:v>
      </x:c>
      <x:c r="I42" s="14" t="str">
        <x:v>HASH00100040</x:v>
      </x:c>
    </x:row>
    <x:row r="43">
      <x:c r="A43" s="14" t="str">
        <x:v>M00042</x:v>
      </x:c>
      <x:c r="B43" s="14" t="str">
        <x:v>C0042</x:v>
      </x:c>
      <x:c r="C43" s="14" t="str">
        <x:v>E016</x:v>
      </x:c>
      <x:c r="D43" s="16" t="str">
        <x:v>2026-03-29 14:00:00</x:v>
      </x:c>
      <x:c r="E43" s="14" t="str">
        <x:v>Can you confirm the owner and close the open action?</x:v>
      </x:c>
      <x:c r="F43" s="14" t="str">
        <x:v>en</x:v>
      </x:c>
      <x:c r="G43" s="14" t="n">
        <x:v>0</x:v>
      </x:c>
      <x:c r="H43" s="16" t="str">
        <x:v>2026-03-29 14:05:00</x:v>
      </x:c>
      <x:c r="I43" s="14" t="str">
        <x:v>HASH00100041</x:v>
      </x:c>
    </x:row>
    <x:row r="44">
      <x:c r="A44" s="14" t="str">
        <x:v>M00043</x:v>
      </x:c>
      <x:c r="B44" s="14" t="str">
        <x:v>C0043</x:v>
      </x:c>
      <x:c r="C44" s="14" t="str">
        <x:v>E023</x:v>
      </x:c>
      <x:c r="D44" s="16" t="str">
        <x:v>2026-03-31 12:00:00</x:v>
      </x:c>
      <x:c r="E44" s="14" t="str">
        <x:v>The dependency is still blocked by vendor access.</x:v>
      </x:c>
      <x:c r="F44" s="14" t="str">
        <x:v>en</x:v>
      </x:c>
      <x:c r="G44" s="14" t="n">
        <x:v>0</x:v>
      </x:c>
      <x:c r="H44" s="16" t="str">
        <x:v>2026-03-31 12:05:00</x:v>
      </x:c>
      <x:c r="I44" s="14" t="str">
        <x:v>HASH00100042</x:v>
      </x:c>
    </x:row>
    <x:row r="45">
      <x:c r="A45" s="14" t="str">
        <x:v>M00044</x:v>
      </x:c>
      <x:c r="B45" s="14" t="str">
        <x:v>C0044</x:v>
      </x:c>
      <x:c r="C45" s="14" t="str">
        <x:v>E030</x:v>
      </x:c>
      <x:c r="D45" s="16" t="str">
        <x:v>2026-04-02 17:00:00</x:v>
      </x:c>
      <x:c r="E45" s="14" t="str">
        <x:v>I completed the draft and attached it for review.</x:v>
      </x:c>
      <x:c r="F45" s="14" t="str">
        <x:v>en</x:v>
      </x:c>
      <x:c r="G45" s="14" t="n">
        <x:v>0</x:v>
      </x:c>
      <x:c r="H45" s="16" t="str">
        <x:v>2026-04-02 17:12:00</x:v>
      </x:c>
      <x:c r="I45" s="14" t="str">
        <x:v>HASH00100043</x:v>
      </x:c>
    </x:row>
    <x:row r="46">
      <x:c r="A46" s="14" t="str">
        <x:v>M00045</x:v>
      </x:c>
      <x:c r="B46" s="14" t="str">
        <x:v>C0045</x:v>
      </x:c>
      <x:c r="C46" s="14" t="str">
        <x:v>E037</x:v>
      </x:c>
      <x:c r="D46" s="16" t="str">
        <x:v>2026-04-04 22:00:00</x:v>
      </x:c>
      <x:c r="E46" s="14" t="str">
        <x:v>We need to reassign this because the current owner is on leave.</x:v>
      </x:c>
      <x:c r="F46" s="14" t="str">
        <x:v>en</x:v>
      </x:c>
      <x:c r="G46" s="14" t="n">
        <x:v>1</x:v>
      </x:c>
      <x:c r="H46" s="16" t="str">
        <x:v>2026-04-04 22:03:00</x:v>
      </x:c>
      <x:c r="I46" s="14" t="str">
        <x:v>HASH00100044</x:v>
      </x:c>
    </x:row>
    <x:row r="47">
      <x:c r="A47" s="14" t="str">
        <x:v>M00046</x:v>
      </x:c>
      <x:c r="B47" s="14" t="str">
        <x:v>C0046</x:v>
      </x:c>
      <x:c r="C47" s="14" t="str">
        <x:v>E005</x:v>
      </x:c>
      <x:c r="D47" s="16" t="str">
        <x:v>2026-04-05 13:00:00</x:v>
      </x:c>
      <x:c r="E47" s="14" t="str">
        <x:v>Please escalate if there is no response within 48 hours.</x:v>
      </x:c>
      <x:c r="F47" s="14" t="str">
        <x:v>en</x:v>
      </x:c>
      <x:c r="G47" s="14" t="n">
        <x:v>0</x:v>
      </x:c>
      <x:c r="H47" s="16" t="str">
        <x:v>2026-04-05 13:05:00</x:v>
      </x:c>
      <x:c r="I47" s="14" t="str">
        <x:v>HASH00100045</x:v>
      </x:c>
    </x:row>
    <x:row r="48">
      <x:c r="A48" s="14" t="str">
        <x:v>M00047</x:v>
      </x:c>
      <x:c r="B48" s="14" t="str">
        <x:v>C0047</x:v>
      </x:c>
      <x:c r="C48" s="14" t="str">
        <x:v>E012</x:v>
      </x:c>
      <x:c r="D48" s="16" t="str">
        <x:v>2026-04-07 18:00:00</x:v>
      </x:c>
      <x:c r="E48" s="14" t="str">
        <x:v>The customer expects an update by end of day.</x:v>
      </x:c>
      <x:c r="F48" s="14" t="str">
        <x:v>en</x:v>
      </x:c>
      <x:c r="G48" s="14" t="n">
        <x:v>0</x:v>
      </x:c>
      <x:c r="H48" s="16" t="str">
        <x:v>2026-04-07 18:01:00</x:v>
      </x:c>
      <x:c r="I48" s="14" t="str">
        <x:v>HASH00100046</x:v>
      </x:c>
    </x:row>
    <x:row r="49">
      <x:c r="A49" s="14" t="str">
        <x:v>M00048</x:v>
      </x:c>
      <x:c r="B49" s="14" t="str">
        <x:v>C0048</x:v>
      </x:c>
      <x:c r="C49" s="14" t="str">
        <x:v>E019</x:v>
      </x:c>
      <x:c r="D49" s="16" t="str">
        <x:v>2026-04-09 22:00:00</x:v>
      </x:c>
      <x:c r="E49" s="14" t="str">
        <x:v>No action is required until finance validates the forecast.</x:v>
      </x:c>
      <x:c r="F49" s="14" t="str">
        <x:v>en</x:v>
      </x:c>
      <x:c r="G49" s="14" t="n">
        <x:v>0</x:v>
      </x:c>
      <x:c r="H49" s="16" t="str">
        <x:v>2026-04-09 22:12:00</x:v>
      </x:c>
      <x:c r="I49" s="14" t="str">
        <x:v>HASH00100047</x:v>
      </x:c>
    </x:row>
    <x:row r="50">
      <x:c r="A50" s="14" t="str">
        <x:v>M00049</x:v>
      </x:c>
      <x:c r="B50" s="14" t="str">
        <x:v>C0049</x:v>
      </x:c>
      <x:c r="C50" s="14" t="str">
        <x:v>E026</x:v>
      </x:c>
      <x:c r="D50" s="16" t="str">
        <x:v>2026-04-12 05:00:00</x:v>
      </x:c>
      <x:c r="E50" s="14" t="str">
        <x:v>I will send the revised analysis by end of week.</x:v>
      </x:c>
      <x:c r="F50" s="14" t="str">
        <x:v>en</x:v>
      </x:c>
      <x:c r="G50" s="14" t="n">
        <x:v>0</x:v>
      </x:c>
      <x:c r="H50" s="16" t="str">
        <x:v>2026-04-12 05:01:00</x:v>
      </x:c>
      <x:c r="I50" s="14" t="str">
        <x:v>HASH00100048</x:v>
      </x:c>
    </x:row>
    <x:row r="51">
      <x:c r="A51" s="14" t="str">
        <x:v>M00050</x:v>
      </x:c>
      <x:c r="B51" s="14" t="str">
        <x:v>C0050</x:v>
      </x:c>
      <x:c r="C51" s="14" t="str">
        <x:v>E033</x:v>
      </x:c>
      <x:c r="D51" s="16" t="str">
        <x:v>2026-04-14 01:00:00</x:v>
      </x:c>
      <x:c r="E51" s="14" t="str">
        <x:v>Engineering will complete the fix in the next sprint.</x:v>
      </x:c>
      <x:c r="F51" s="14" t="str">
        <x:v>en</x:v>
      </x:c>
      <x:c r="G51" s="14" t="n">
        <x:v>0</x:v>
      </x:c>
      <x:c r="H51" s="16" t="str">
        <x:v>2026-04-14 01:10:00</x:v>
      </x:c>
      <x:c r="I51" s="14" t="str">
        <x:v>HASH00100049</x:v>
      </x:c>
    </x:row>
    <x:row r="52">
      <x:c r="A52" s="14" t="str">
        <x:v>M00051</x:v>
      </x:c>
      <x:c r="B52" s="14" t="str">
        <x:v>C0051</x:v>
      </x:c>
      <x:c r="C52" s="14" t="str">
        <x:v>E001</x:v>
      </x:c>
      <x:c r="D52" s="16" t="str">
        <x:v>2026-04-16 09:00:00</x:v>
      </x:c>
      <x:c r="E52" s="14" t="str">
        <x:v>Let's revisit this after the 4.2 release.</x:v>
      </x:c>
      <x:c r="F52" s="14" t="str">
        <x:v>en</x:v>
      </x:c>
      <x:c r="G52" s="14" t="n">
        <x:v>0</x:v>
      </x:c>
      <x:c r="H52" s="16" t="str">
        <x:v>2026-04-16 09:09:00</x:v>
      </x:c>
      <x:c r="I52" s="14" t="str">
        <x:v>HASH00100050</x:v>
      </x:c>
    </x:row>
    <x:row r="53">
      <x:c r="A53" s="14" t="str">
        <x:v>M00052</x:v>
      </x:c>
      <x:c r="B53" s="14" t="str">
        <x:v>C0052</x:v>
      </x:c>
      <x:c r="C53" s="14" t="str">
        <x:v>E008</x:v>
      </x:c>
      <x:c r="D53" s="16" t="str">
        <x:v>2026-04-18 12:00:00</x:v>
      </x:c>
      <x:c r="E53" s="14" t="str">
        <x:v>I will get legal approval before Wednesday.</x:v>
      </x:c>
      <x:c r="F53" s="14" t="str">
        <x:v>en</x:v>
      </x:c>
      <x:c r="G53" s="14" t="n">
        <x:v>0</x:v>
      </x:c>
      <x:c r="H53" s="16" t="str">
        <x:v>2026-04-18 12:01:00</x:v>
      </x:c>
      <x:c r="I53" s="14" t="str">
        <x:v>HASH00100051</x:v>
      </x:c>
    </x:row>
    <x:row r="54">
      <x:c r="A54" s="14" t="str">
        <x:v>M00053</x:v>
      </x:c>
      <x:c r="B54" s="14" t="str">
        <x:v>C0053</x:v>
      </x:c>
      <x:c r="C54" s="14" t="str">
        <x:v>E015</x:v>
      </x:c>
      <x:c r="D54" s="16" t="str">
        <x:v>2026-04-20 16:00:00</x:v>
      </x:c>
      <x:c r="E54" s="14" t="str">
        <x:v>We will circle back next week with a decision.</x:v>
      </x:c>
      <x:c r="F54" s="14" t="str">
        <x:v>en</x:v>
      </x:c>
      <x:c r="G54" s="14" t="n">
        <x:v>0</x:v>
      </x:c>
      <x:c r="H54" s="16" t="str">
        <x:v>2026-04-20 16:14:00</x:v>
      </x:c>
      <x:c r="I54" s="14" t="str">
        <x:v>HASH00100052</x:v>
      </x:c>
    </x:row>
    <x:row r="55">
      <x:c r="A55" s="14" t="str">
        <x:v>M00054</x:v>
      </x:c>
      <x:c r="B55" s="14" t="str">
        <x:v>C0054</x:v>
      </x:c>
      <x:c r="C55" s="14" t="str">
        <x:v>E022</x:v>
      </x:c>
      <x:c r="D55" s="16" t="str">
        <x:v>2026-04-22 22:00:00</x:v>
      </x:c>
      <x:c r="E55" s="14" t="str">
        <x:v>Can you confirm the owner and close the open action?</x:v>
      </x:c>
      <x:c r="F55" s="14" t="str">
        <x:v>en</x:v>
      </x:c>
      <x:c r="G55" s="14" t="n">
        <x:v>0</x:v>
      </x:c>
      <x:c r="H55" s="16" t="str">
        <x:v>2026-04-22 22:02:00</x:v>
      </x:c>
      <x:c r="I55" s="14" t="str">
        <x:v>HASH00100053</x:v>
      </x:c>
    </x:row>
    <x:row r="56">
      <x:c r="A56" s="14" t="str">
        <x:v>M00055</x:v>
      </x:c>
      <x:c r="B56" s="14" t="str">
        <x:v>C0055</x:v>
      </x:c>
      <x:c r="C56" s="14" t="str">
        <x:v>E029</x:v>
      </x:c>
      <x:c r="D56" s="16" t="str">
        <x:v>2026-04-23 14:00:00</x:v>
      </x:c>
      <x:c r="E56" s="14" t="str">
        <x:v>The dependency is still blocked by vendor access.</x:v>
      </x:c>
      <x:c r="F56" s="14" t="str">
        <x:v>en</x:v>
      </x:c>
      <x:c r="G56" s="14" t="n">
        <x:v>0</x:v>
      </x:c>
      <x:c r="H56" s="16" t="str">
        <x:v>2026-04-23 14:11:00</x:v>
      </x:c>
      <x:c r="I56" s="14" t="str">
        <x:v>HASH00100054</x:v>
      </x:c>
    </x:row>
    <x:row r="57">
      <x:c r="A57" s="14" t="str">
        <x:v>M00056</x:v>
      </x:c>
      <x:c r="B57" s="14" t="str">
        <x:v>C0056</x:v>
      </x:c>
      <x:c r="C57" s="14" t="str">
        <x:v>E037</x:v>
      </x:c>
      <x:c r="D57" s="16" t="str">
        <x:v>2026-04-25 20:00:00</x:v>
      </x:c>
      <x:c r="E57" s="14" t="str">
        <x:v>I completed the draft and attached it for review.</x:v>
      </x:c>
      <x:c r="F57" s="14" t="str">
        <x:v>en</x:v>
      </x:c>
      <x:c r="G57" s="14" t="n">
        <x:v>1</x:v>
      </x:c>
      <x:c r="H57" s="16" t="str">
        <x:v>2026-04-25 20:07:00</x:v>
      </x:c>
      <x:c r="I57" s="14" t="str">
        <x:v>HASH00100055</x:v>
      </x:c>
    </x:row>
    <x:row r="58">
      <x:c r="A58" s="14" t="str">
        <x:v>M00057</x:v>
      </x:c>
      <x:c r="B58" s="14" t="str">
        <x:v>C0057</x:v>
      </x:c>
      <x:c r="C58" s="14" t="str">
        <x:v>E004</x:v>
      </x:c>
      <x:c r="D58" s="16" t="str">
        <x:v>2026-04-27 17:00:00</x:v>
      </x:c>
      <x:c r="E58" s="14" t="str">
        <x:v>We need to reassign this because the current owner is on leave.</x:v>
      </x:c>
      <x:c r="F58" s="14" t="str">
        <x:v>en</x:v>
      </x:c>
      <x:c r="G58" s="14" t="n">
        <x:v>0</x:v>
      </x:c>
      <x:c r="H58" s="16" t="str">
        <x:v>2026-04-27 17:15:00</x:v>
      </x:c>
      <x:c r="I58" s="14" t="str">
        <x:v>HASH00100056</x:v>
      </x:c>
    </x:row>
    <x:row r="59">
      <x:c r="A59" s="14" t="str">
        <x:v>M00058</x:v>
      </x:c>
      <x:c r="B59" s="14" t="str">
        <x:v>C0058</x:v>
      </x:c>
      <x:c r="C59" s="14" t="str">
        <x:v>E011</x:v>
      </x:c>
      <x:c r="D59" s="16" t="str">
        <x:v>2026-04-29 23:00:00</x:v>
      </x:c>
      <x:c r="E59" s="14" t="str">
        <x:v>Please escalate if there is no response within 48 hours.</x:v>
      </x:c>
      <x:c r="F59" s="14" t="str">
        <x:v>en</x:v>
      </x:c>
      <x:c r="G59" s="14" t="n">
        <x:v>0</x:v>
      </x:c>
      <x:c r="H59" s="16" t="str">
        <x:v>2026-04-29 23:10:00</x:v>
      </x:c>
      <x:c r="I59" s="14" t="str">
        <x:v>HASH00100057</x:v>
      </x:c>
    </x:row>
    <x:row r="60">
      <x:c r="A60" s="14" t="str">
        <x:v>M00059</x:v>
      </x:c>
      <x:c r="B60" s="14" t="str">
        <x:v>C0059</x:v>
      </x:c>
      <x:c r="C60" s="14" t="str">
        <x:v>E018</x:v>
      </x:c>
      <x:c r="D60" s="16" t="str">
        <x:v>2026-05-02 03:00:00</x:v>
      </x:c>
      <x:c r="E60" s="14" t="str">
        <x:v>The customer expects an update by end of day.</x:v>
      </x:c>
      <x:c r="F60" s="14" t="str">
        <x:v>en</x:v>
      </x:c>
      <x:c r="G60" s="14" t="n">
        <x:v>0</x:v>
      </x:c>
      <x:c r="H60" s="16" t="str">
        <x:v>2026-05-02 03:10:00</x:v>
      </x:c>
      <x:c r="I60" s="14" t="str">
        <x:v>HASH00100058</x:v>
      </x:c>
    </x:row>
    <x:row r="61">
      <x:c r="A61" s="14" t="str">
        <x:v>M00060</x:v>
      </x:c>
      <x:c r="B61" s="14" t="str">
        <x:v>C0060</x:v>
      </x:c>
      <x:c r="C61" s="14" t="str">
        <x:v>E025</x:v>
      </x:c>
      <x:c r="D61" s="16" t="str">
        <x:v>2026-05-04 08:00:00</x:v>
      </x:c>
      <x:c r="E61" s="14" t="str">
        <x:v>No action is required until finance validates the forecast.</x:v>
      </x:c>
      <x:c r="F61" s="14" t="str">
        <x:v>en</x:v>
      </x:c>
      <x:c r="G61" s="14" t="n">
        <x:v>0</x:v>
      </x:c>
      <x:c r="H61" s="16" t="str">
        <x:v>2026-05-04 08:07:00</x:v>
      </x:c>
      <x:c r="I61" s="14" t="str">
        <x:v>HASH00100059</x:v>
      </x:c>
    </x:row>
    <x:row r="62">
      <x:c r="A62" s="14" t="str">
        <x:v>M00061</x:v>
      </x:c>
      <x:c r="B62" s="14" t="str">
        <x:v>C0001</x:v>
      </x:c>
      <x:c r="C62" s="14" t="str">
        <x:v>E033</x:v>
      </x:c>
      <x:c r="D62" s="16" t="str">
        <x:v>2026-01-06 11:00:00</x:v>
      </x:c>
      <x:c r="E62" s="14" t="str">
        <x:v>I will send the revised analysis by Tuesday.</x:v>
      </x:c>
      <x:c r="F62" s="14" t="str">
        <x:v>en</x:v>
      </x:c>
      <x:c r="G62" s="14" t="n">
        <x:v>0</x:v>
      </x:c>
      <x:c r="H62" s="16" t="str">
        <x:v>2026-01-06 11:15:00</x:v>
      </x:c>
      <x:c r="I62" s="14" t="str">
        <x:v>HASH00100060</x:v>
      </x:c>
    </x:row>
    <x:row r="63">
      <x:c r="A63" s="14" t="str">
        <x:v>M00062</x:v>
      </x:c>
      <x:c r="B63" s="14" t="str">
        <x:v>C0002</x:v>
      </x:c>
      <x:c r="C63" s="14" t="str">
        <x:v>E040</x:v>
      </x:c>
      <x:c r="D63" s="16" t="str">
        <x:v>2026-01-08 16:00:00</x:v>
      </x:c>
      <x:c r="E63" s="14" t="str">
        <x:v>Engineering will complete the fix in the next sprint.</x:v>
      </x:c>
      <x:c r="F63" s="14" t="str">
        <x:v>en</x:v>
      </x:c>
      <x:c r="G63" s="14" t="n">
        <x:v>0</x:v>
      </x:c>
      <x:c r="H63" s="16" t="str">
        <x:v>2026-01-08 16:04:00</x:v>
      </x:c>
      <x:c r="I63" s="14" t="str">
        <x:v>HASH00100061</x:v>
      </x:c>
    </x:row>
    <x:row r="64">
      <x:c r="A64" s="14" t="str">
        <x:v>M00063</x:v>
      </x:c>
      <x:c r="B64" s="14" t="str">
        <x:v>C0003</x:v>
      </x:c>
      <x:c r="C64" s="14" t="str">
        <x:v>E007</x:v>
      </x:c>
      <x:c r="D64" s="16" t="str">
        <x:v>2026-01-10 21:00:00</x:v>
      </x:c>
      <x:c r="E64" s="14" t="str">
        <x:v>Let's revisit this after the security release.</x:v>
      </x:c>
      <x:c r="F64" s="14" t="str">
        <x:v>en</x:v>
      </x:c>
      <x:c r="G64" s="14" t="n">
        <x:v>0</x:v>
      </x:c>
      <x:c r="H64" s="16" t="str">
        <x:v>2026-01-10 21:04:00</x:v>
      </x:c>
      <x:c r="I64" s="14" t="str">
        <x:v>HASH00100062</x:v>
      </x:c>
    </x:row>
    <x:row r="65">
      <x:c r="A65" s="14" t="str">
        <x:v>M00064</x:v>
      </x:c>
      <x:c r="B65" s="14" t="str">
        <x:v>C0004</x:v>
      </x:c>
      <x:c r="C65" s="14" t="str">
        <x:v>E014</x:v>
      </x:c>
      <x:c r="D65" s="16" t="str">
        <x:v>2026-01-11 14:00:00</x:v>
      </x:c>
      <x:c r="E65" s="14" t="str">
        <x:v>I will get legal approval before end of week.</x:v>
      </x:c>
      <x:c r="F65" s="14" t="str">
        <x:v>en</x:v>
      </x:c>
      <x:c r="G65" s="14" t="n">
        <x:v>0</x:v>
      </x:c>
      <x:c r="H65" s="16" t="str">
        <x:v>2026-01-11 14:07:00</x:v>
      </x:c>
      <x:c r="I65" s="14" t="str">
        <x:v>HASH00100063</x:v>
      </x:c>
    </x:row>
    <x:row r="66">
      <x:c r="A66" s="14" t="str">
        <x:v>M00065</x:v>
      </x:c>
      <x:c r="B66" s="14" t="str">
        <x:v>C0005</x:v>
      </x:c>
      <x:c r="C66" s="14" t="str">
        <x:v>E021</x:v>
      </x:c>
      <x:c r="D66" s="16" t="str">
        <x:v>2026-01-13 18:00:00</x:v>
      </x:c>
      <x:c r="E66" s="14" t="str">
        <x:v>We will circle back next week with a decision.</x:v>
      </x:c>
      <x:c r="F66" s="14" t="str">
        <x:v>en</x:v>
      </x:c>
      <x:c r="G66" s="14" t="n">
        <x:v>0</x:v>
      </x:c>
      <x:c r="H66" s="16" t="str">
        <x:v>2026-01-13 18:11:00</x:v>
      </x:c>
      <x:c r="I66" s="14" t="str">
        <x:v>HASH00100064</x:v>
      </x:c>
    </x:row>
    <x:row r="67">
      <x:c r="A67" s="14" t="str">
        <x:v>M00066</x:v>
      </x:c>
      <x:c r="B67" s="14" t="str">
        <x:v>C0006</x:v>
      </x:c>
      <x:c r="C67" s="14" t="str">
        <x:v>E029</x:v>
      </x:c>
      <x:c r="D67" s="16" t="str">
        <x:v>2026-01-16 00:00:00</x:v>
      </x:c>
      <x:c r="E67" s="14" t="str">
        <x:v>Can you confirm the owner and close the open action?</x:v>
      </x:c>
      <x:c r="F67" s="14" t="str">
        <x:v>en</x:v>
      </x:c>
      <x:c r="G67" s="14" t="n">
        <x:v>0</x:v>
      </x:c>
      <x:c r="H67" s="16" t="str">
        <x:v>2026-01-16 00:08:00</x:v>
      </x:c>
      <x:c r="I67" s="14" t="str">
        <x:v>HASH00100065</x:v>
      </x:c>
    </x:row>
    <x:row r="68">
      <x:c r="A68" s="14" t="str">
        <x:v>M00067</x:v>
      </x:c>
      <x:c r="B68" s="14" t="str">
        <x:v>C0007</x:v>
      </x:c>
      <x:c r="C68" s="14" t="str">
        <x:v>E036</x:v>
      </x:c>
      <x:c r="D68" s="16" t="str">
        <x:v>2026-01-18 05:00:00</x:v>
      </x:c>
      <x:c r="E68" s="14" t="str">
        <x:v>The dependency is still blocked by vendor access.</x:v>
      </x:c>
      <x:c r="F68" s="14" t="str">
        <x:v>en</x:v>
      </x:c>
      <x:c r="G68" s="14" t="n">
        <x:v>1</x:v>
      </x:c>
      <x:c r="H68" s="16" t="str">
        <x:v>2026-01-18 05:15:00</x:v>
      </x:c>
      <x:c r="I68" s="14" t="str">
        <x:v>HASH00100066</x:v>
      </x:c>
    </x:row>
    <x:row r="69">
      <x:c r="A69" s="14" t="str">
        <x:v>M00068</x:v>
      </x:c>
      <x:c r="B69" s="14" t="str">
        <x:v>C0008</x:v>
      </x:c>
      <x:c r="C69" s="14" t="str">
        <x:v>E003</x:v>
      </x:c>
      <x:c r="D69" s="16" t="str">
        <x:v>2026-01-20 01:00:00</x:v>
      </x:c>
      <x:c r="E69" s="14" t="str">
        <x:v>I completed the draft and attached it for review.</x:v>
      </x:c>
      <x:c r="F69" s="14" t="str">
        <x:v>en</x:v>
      </x:c>
      <x:c r="G69" s="14" t="n">
        <x:v>0</x:v>
      </x:c>
      <x:c r="H69" s="16" t="str">
        <x:v>2026-01-20 01:01:00</x:v>
      </x:c>
      <x:c r="I69" s="14" t="str">
        <x:v>HASH00100067</x:v>
      </x:c>
    </x:row>
    <x:row r="70">
      <x:c r="A70" s="14" t="str">
        <x:v>M00069</x:v>
      </x:c>
      <x:c r="B70" s="14" t="str">
        <x:v>C0009</x:v>
      </x:c>
      <x:c r="C70" s="14" t="str">
        <x:v>E010</x:v>
      </x:c>
      <x:c r="D70" s="16" t="str">
        <x:v>2026-01-22 09:00:00</x:v>
      </x:c>
      <x:c r="E70" s="14" t="str">
        <x:v>We need to reassign this because the current owner is on leave.</x:v>
      </x:c>
      <x:c r="F70" s="14" t="str">
        <x:v>en</x:v>
      </x:c>
      <x:c r="G70" s="14" t="n">
        <x:v>0</x:v>
      </x:c>
      <x:c r="H70" s="16" t="str">
        <x:v>2026-01-22 09:10:00</x:v>
      </x:c>
      <x:c r="I70" s="14" t="str">
        <x:v>HASH00100068</x:v>
      </x:c>
    </x:row>
    <x:row r="71">
      <x:c r="A71" s="14" t="str">
        <x:v>M00070</x:v>
      </x:c>
      <x:c r="B71" s="14" t="str">
        <x:v>C0010</x:v>
      </x:c>
      <x:c r="C71" s="14" t="str">
        <x:v>E017</x:v>
      </x:c>
      <x:c r="D71" s="16" t="str">
        <x:v>2026-01-24 11:00:00</x:v>
      </x:c>
      <x:c r="E71" s="14" t="str">
        <x:v>Please escalate if there is no response within 48 hours.</x:v>
      </x:c>
      <x:c r="F71" s="14" t="str">
        <x:v>en</x:v>
      </x:c>
      <x:c r="G71" s="14" t="n">
        <x:v>0</x:v>
      </x:c>
      <x:c r="H71" s="16" t="str">
        <x:v>2026-01-24 11:02:00</x:v>
      </x:c>
      <x:c r="I71" s="14" t="str">
        <x:v>HASH00100069</x:v>
      </x:c>
    </x:row>
    <x:row r="72">
      <x:c r="A72" s="14" t="str">
        <x:v>M00071</x:v>
      </x:c>
      <x:c r="B72" s="14" t="str">
        <x:v>C0011</x:v>
      </x:c>
      <x:c r="C72" s="14" t="str">
        <x:v>E025</x:v>
      </x:c>
      <x:c r="D72" s="16" t="str">
        <x:v>2026-01-26 17:00:00</x:v>
      </x:c>
      <x:c r="E72" s="14" t="str">
        <x:v>The customer expects an update by end of day.</x:v>
      </x:c>
      <x:c r="F72" s="14" t="str">
        <x:v>en</x:v>
      </x:c>
      <x:c r="G72" s="14" t="n">
        <x:v>0</x:v>
      </x:c>
      <x:c r="H72" s="16" t="str">
        <x:v>2026-01-26 17:09:00</x:v>
      </x:c>
      <x:c r="I72" s="14" t="str">
        <x:v>HASH00100070</x:v>
      </x:c>
    </x:row>
    <x:row r="73">
      <x:c r="A73" s="14" t="str">
        <x:v>M00072</x:v>
      </x:c>
      <x:c r="B73" s="14" t="str">
        <x:v>C0012</x:v>
      </x:c>
      <x:c r="C73" s="14" t="str">
        <x:v>E032</x:v>
      </x:c>
      <x:c r="D73" s="16" t="str">
        <x:v>2026-01-28 23:00:00</x:v>
      </x:c>
      <x:c r="E73" s="14" t="str">
        <x:v>No action is required until finance validates the forecast.</x:v>
      </x:c>
      <x:c r="F73" s="14" t="str">
        <x:v>en</x:v>
      </x:c>
      <x:c r="G73" s="14" t="n">
        <x:v>0</x:v>
      </x:c>
      <x:c r="H73" s="16" t="str">
        <x:v>2026-01-28 23:03:00</x:v>
      </x:c>
      <x:c r="I73" s="14" t="str">
        <x:v>HASH00100071</x:v>
      </x:c>
    </x:row>
    <x:row r="74">
      <x:c r="A74" s="14" t="str">
        <x:v>M00073</x:v>
      </x:c>
      <x:c r="B74" s="14" t="str">
        <x:v>C0013</x:v>
      </x:c>
      <x:c r="C74" s="14" t="str">
        <x:v>E039</x:v>
      </x:c>
      <x:c r="D74" s="16" t="str">
        <x:v>2026-01-29 16:00:00</x:v>
      </x:c>
      <x:c r="E74" s="14" t="str">
        <x:v>I will send the revised analysis by Friday.</x:v>
      </x:c>
      <x:c r="F74" s="14" t="str">
        <x:v>en</x:v>
      </x:c>
      <x:c r="G74" s="14" t="n">
        <x:v>0</x:v>
      </x:c>
      <x:c r="H74" s="16" t="str">
        <x:v>2026-01-29 16:15:00</x:v>
      </x:c>
      <x:c r="I74" s="14" t="str">
        <x:v>HASH00100072</x:v>
      </x:c>
    </x:row>
    <x:row r="75">
      <x:c r="A75" s="14" t="str">
        <x:v>M00074</x:v>
      </x:c>
      <x:c r="B75" s="14" t="str">
        <x:v>C0014</x:v>
      </x:c>
      <x:c r="C75" s="14" t="str">
        <x:v>E006</x:v>
      </x:c>
      <x:c r="D75" s="16" t="str">
        <x:v>2026-01-31 19:00:00</x:v>
      </x:c>
      <x:c r="E75" s="14" t="str">
        <x:v>Engineering will complete the fix in the next sprint.</x:v>
      </x:c>
      <x:c r="F75" s="14" t="str">
        <x:v>en</x:v>
      </x:c>
      <x:c r="G75" s="14" t="n">
        <x:v>0</x:v>
      </x:c>
      <x:c r="H75" s="16" t="str">
        <x:v>2026-01-31 19:15:00</x:v>
      </x:c>
      <x:c r="I75" s="14" t="str">
        <x:v>HASH00100073</x:v>
      </x:c>
    </x:row>
    <x:row r="76">
      <x:c r="A76" s="14" t="str">
        <x:v>M00075</x:v>
      </x:c>
      <x:c r="B76" s="14" t="str">
        <x:v>C0015</x:v>
      </x:c>
      <x:c r="C76" s="14" t="str">
        <x:v>E013</x:v>
      </x:c>
      <x:c r="D76" s="16" t="str">
        <x:v>2026-02-02 18:00:00</x:v>
      </x:c>
      <x:c r="E76" s="14" t="str">
        <x:v>Let's revisit this after the production release.</x:v>
      </x:c>
      <x:c r="F76" s="14" t="str">
        <x:v>en</x:v>
      </x:c>
      <x:c r="G76" s="14" t="n">
        <x:v>0</x:v>
      </x:c>
      <x:c r="H76" s="16" t="str">
        <x:v>2026-02-02 18:06:00</x:v>
      </x:c>
      <x:c r="I76" s="14" t="str">
        <x:v>HASH00100074</x:v>
      </x:c>
    </x:row>
    <x:row r="77">
      <x:c r="A77" s="14" t="str">
        <x:v>M00076</x:v>
      </x:c>
      <x:c r="B77" s="14" t="str">
        <x:v>C0016</x:v>
      </x:c>
      <x:c r="C77" s="14" t="str">
        <x:v>E021</x:v>
      </x:c>
      <x:c r="D77" s="16" t="str">
        <x:v>2026-02-05 00:00:00</x:v>
      </x:c>
      <x:c r="E77" s="14" t="str">
        <x:v>I will get legal approval before Tuesday.</x:v>
      </x:c>
      <x:c r="F77" s="14" t="str">
        <x:v>en</x:v>
      </x:c>
      <x:c r="G77" s="14" t="n">
        <x:v>0</x:v>
      </x:c>
      <x:c r="H77" s="16" t="str">
        <x:v>2026-02-05 00:03:00</x:v>
      </x:c>
      <x:c r="I77" s="14" t="str">
        <x:v>HASH00100075</x:v>
      </x:c>
    </x:row>
    <x:row r="78">
      <x:c r="A78" s="14" t="str">
        <x:v>M00077</x:v>
      </x:c>
      <x:c r="B78" s="14" t="str">
        <x:v>C0017</x:v>
      </x:c>
      <x:c r="C78" s="14" t="str">
        <x:v>E028</x:v>
      </x:c>
      <x:c r="D78" s="16" t="str">
        <x:v>2026-02-07 06:00:00</x:v>
      </x:c>
      <x:c r="E78" s="14" t="str">
        <x:v>We will circle back next week with a decision.</x:v>
      </x:c>
      <x:c r="F78" s="14" t="str">
        <x:v>en</x:v>
      </x:c>
      <x:c r="G78" s="14" t="n">
        <x:v>0</x:v>
      </x:c>
      <x:c r="H78" s="16" t="str">
        <x:v>2026-02-07 06:14:00</x:v>
      </x:c>
      <x:c r="I78" s="14" t="str">
        <x:v>HASH00100076</x:v>
      </x:c>
    </x:row>
    <x:row r="79">
      <x:c r="A79" s="14" t="str">
        <x:v>M00078</x:v>
      </x:c>
      <x:c r="B79" s="14" t="str">
        <x:v>C0018</x:v>
      </x:c>
      <x:c r="C79" s="14" t="str">
        <x:v>E035</x:v>
      </x:c>
      <x:c r="D79" s="16" t="str">
        <x:v>2026-02-09 10:00:00</x:v>
      </x:c>
      <x:c r="E79" s="14" t="str">
        <x:v>Can you confirm the owner and close the open action?</x:v>
      </x:c>
      <x:c r="F79" s="14" t="str">
        <x:v>en</x:v>
      </x:c>
      <x:c r="G79" s="14" t="n">
        <x:v>1</x:v>
      </x:c>
      <x:c r="H79" s="16" t="str">
        <x:v>2026-02-09 10:10:00</x:v>
      </x:c>
      <x:c r="I79" s="14" t="str">
        <x:v>HASH00100077</x:v>
      </x:c>
    </x:row>
    <x:row r="80">
      <x:c r="A80" s="14" t="str">
        <x:v>M00079</x:v>
      </x:c>
      <x:c r="B80" s="14" t="str">
        <x:v>C0019</x:v>
      </x:c>
      <x:c r="C80" s="14" t="str">
        <x:v>E002</x:v>
      </x:c>
      <x:c r="D80" s="16" t="str">
        <x:v>2026-02-11 13:00:00</x:v>
      </x:c>
      <x:c r="E80" s="14" t="str">
        <x:v>The dependency is still blocked by vendor access.</x:v>
      </x:c>
      <x:c r="F80" s="14" t="str">
        <x:v>en</x:v>
      </x:c>
      <x:c r="G80" s="14" t="n">
        <x:v>0</x:v>
      </x:c>
      <x:c r="H80" s="16" t="str">
        <x:v>2026-02-11 13:11:00</x:v>
      </x:c>
      <x:c r="I80" s="14" t="str">
        <x:v>HASH00100078</x:v>
      </x:c>
    </x:row>
    <x:row r="81">
      <x:c r="A81" s="14" t="str">
        <x:v>M00080</x:v>
      </x:c>
      <x:c r="B81" s="14" t="str">
        <x:v>C0020</x:v>
      </x:c>
      <x:c r="C81" s="14" t="str">
        <x:v>E009</x:v>
      </x:c>
      <x:c r="D81" s="16" t="str">
        <x:v>2026-02-13 20:00:00</x:v>
      </x:c>
      <x:c r="E81" s="14" t="str">
        <x:v>I completed the draft and attached it for review.</x:v>
      </x:c>
      <x:c r="F81" s="14" t="str">
        <x:v>en</x:v>
      </x:c>
      <x:c r="G81" s="14" t="n">
        <x:v>0</x:v>
      </x:c>
      <x:c r="H81" s="16" t="str">
        <x:v>2026-02-13 20:15:00</x:v>
      </x:c>
      <x:c r="I81" s="14" t="str">
        <x:v>HASH00100079</x:v>
      </x:c>
    </x:row>
    <x:row r="82">
      <x:c r="A82" s="14" t="str">
        <x:v>M00081</x:v>
      </x:c>
      <x:c r="B82" s="14" t="str">
        <x:v>C0021</x:v>
      </x:c>
      <x:c r="C82" s="14" t="str">
        <x:v>E017</x:v>
      </x:c>
      <x:c r="D82" s="16" t="str">
        <x:v>2026-02-15 23:00:00</x:v>
      </x:c>
      <x:c r="E82" s="14" t="str">
        <x:v>We need to reassign this because the current owner is on leave.</x:v>
      </x:c>
      <x:c r="F82" s="14" t="str">
        <x:v>en</x:v>
      </x:c>
      <x:c r="G82" s="14" t="n">
        <x:v>0</x:v>
      </x:c>
      <x:c r="H82" s="16" t="str">
        <x:v>2026-02-15 23:15:00</x:v>
      </x:c>
      <x:c r="I82" s="14" t="str">
        <x:v>HASH00100080</x:v>
      </x:c>
    </x:row>
    <x:row r="83">
      <x:c r="A83" s="14" t="str">
        <x:v>M00082</x:v>
      </x:c>
      <x:c r="B83" s="14" t="str">
        <x:v>C0022</x:v>
      </x:c>
      <x:c r="C83" s="14" t="str">
        <x:v>E024</x:v>
      </x:c>
      <x:c r="D83" s="16" t="str">
        <x:v>2026-02-16 10:00:00</x:v>
      </x:c>
      <x:c r="E83" s="14" t="str">
        <x:v>Please escalate if there is no response within 48 hours.</x:v>
      </x:c>
      <x:c r="F83" s="14" t="str">
        <x:v>en</x:v>
      </x:c>
      <x:c r="G83" s="14" t="n">
        <x:v>0</x:v>
      </x:c>
      <x:c r="H83" s="16" t="str">
        <x:v>2026-02-16 10:05:00</x:v>
      </x:c>
      <x:c r="I83" s="14" t="str">
        <x:v>HASH00100081</x:v>
      </x:c>
    </x:row>
    <x:row r="84">
      <x:c r="A84" s="14" t="str">
        <x:v>M00083</x:v>
      </x:c>
      <x:c r="B84" s="14" t="str">
        <x:v>C0023</x:v>
      </x:c>
      <x:c r="C84" s="14" t="str">
        <x:v>E031</x:v>
      </x:c>
      <x:c r="D84" s="16" t="str">
        <x:v>2026-02-18 14:00:00</x:v>
      </x:c>
      <x:c r="E84" s="14" t="str">
        <x:v>The customer expects an update by end of day.</x:v>
      </x:c>
      <x:c r="F84" s="14" t="str">
        <x:v>en</x:v>
      </x:c>
      <x:c r="G84" s="14" t="n">
        <x:v>0</x:v>
      </x:c>
      <x:c r="H84" s="16" t="str">
        <x:v>2026-02-18 14:15:00</x:v>
      </x:c>
      <x:c r="I84" s="14" t="str">
        <x:v>HASH00100082</x:v>
      </x:c>
    </x:row>
    <x:row r="85">
      <x:c r="A85" s="14" t="str">
        <x:v>M00084</x:v>
      </x:c>
      <x:c r="B85" s="14" t="str">
        <x:v>C0024</x:v>
      </x:c>
      <x:c r="C85" s="14" t="str">
        <x:v>E038</x:v>
      </x:c>
      <x:c r="D85" s="16" t="str">
        <x:v>2026-02-20 19:00:00</x:v>
      </x:c>
      <x:c r="E85" s="14" t="str">
        <x:v>No action is required until finance validates the forecast.</x:v>
      </x:c>
      <x:c r="F85" s="14" t="str">
        <x:v>en</x:v>
      </x:c>
      <x:c r="G85" s="14" t="n">
        <x:v>0</x:v>
      </x:c>
      <x:c r="H85" s="16" t="str">
        <x:v>2026-02-20 19:12:00</x:v>
      </x:c>
      <x:c r="I85" s="14" t="str">
        <x:v>HASH00100083</x:v>
      </x:c>
    </x:row>
    <x:row r="86">
      <x:c r="A86" s="14" t="str">
        <x:v>M00085</x:v>
      </x:c>
      <x:c r="B86" s="14" t="str">
        <x:v>C0025</x:v>
      </x:c>
      <x:c r="C86" s="14" t="str">
        <x:v>E005</x:v>
      </x:c>
      <x:c r="D86" s="16" t="str">
        <x:v>2026-02-23 01:00:00</x:v>
      </x:c>
      <x:c r="E86" s="14" t="str">
        <x:v>I will send the revised analysis by July 31.</x:v>
      </x:c>
      <x:c r="F86" s="14" t="str">
        <x:v>en</x:v>
      </x:c>
      <x:c r="G86" s="14" t="n">
        <x:v>0</x:v>
      </x:c>
      <x:c r="H86" s="16" t="str">
        <x:v>2026-02-23 01:05:00</x:v>
      </x:c>
      <x:c r="I86" s="14" t="str">
        <x:v>HASH00100084</x:v>
      </x:c>
    </x:row>
    <x:row r="87">
      <x:c r="A87" s="14" t="str">
        <x:v>M00086</x:v>
      </x:c>
      <x:c r="B87" s="14" t="str">
        <x:v>C0026</x:v>
      </x:c>
      <x:c r="C87" s="14" t="str">
        <x:v>E013</x:v>
      </x:c>
      <x:c r="D87" s="16" t="str">
        <x:v>2026-02-25 07:00:00</x:v>
      </x:c>
      <x:c r="E87" s="14" t="str">
        <x:v>Engineering will complete the fix in the next sprint.</x:v>
      </x:c>
      <x:c r="F87" s="14" t="str">
        <x:v>en</x:v>
      </x:c>
      <x:c r="G87" s="14" t="n">
        <x:v>0</x:v>
      </x:c>
      <x:c r="H87" s="16" t="str">
        <x:v>2026-02-25 07:10:00</x:v>
      </x:c>
      <x:c r="I87" s="14" t="str">
        <x:v>HASH00100085</x:v>
      </x:c>
    </x:row>
    <x:row r="88">
      <x:c r="A88" s="14" t="str">
        <x:v>M00087</x:v>
      </x:c>
      <x:c r="B88" s="14" t="str">
        <x:v>C0027</x:v>
      </x:c>
      <x:c r="C88" s="14" t="str">
        <x:v>E020</x:v>
      </x:c>
      <x:c r="D88" s="16" t="str">
        <x:v>2026-02-27 11:00:00</x:v>
      </x:c>
      <x:c r="E88" s="14" t="str">
        <x:v>Let's revisit this after the pilot release.</x:v>
      </x:c>
      <x:c r="F88" s="14" t="str">
        <x:v>en</x:v>
      </x:c>
      <x:c r="G88" s="14" t="n">
        <x:v>0</x:v>
      </x:c>
      <x:c r="H88" s="16" t="str">
        <x:v>2026-02-27 11:12:00</x:v>
      </x:c>
      <x:c r="I88" s="14" t="str">
        <x:v>HASH00100086</x:v>
      </x:c>
    </x:row>
    <x:row r="89">
      <x:c r="A89" s="14" t="str">
        <x:v>M00088</x:v>
      </x:c>
      <x:c r="B89" s="14" t="str">
        <x:v>C0028</x:v>
      </x:c>
      <x:c r="C89" s="14" t="str">
        <x:v>E027</x:v>
      </x:c>
      <x:c r="D89" s="16" t="str">
        <x:v>2026-03-01 17:00:00</x:v>
      </x:c>
      <x:c r="E89" s="14" t="str">
        <x:v>I will get legal approval before Friday.</x:v>
      </x:c>
      <x:c r="F89" s="14" t="str">
        <x:v>en</x:v>
      </x:c>
      <x:c r="G89" s="14" t="n">
        <x:v>0</x:v>
      </x:c>
      <x:c r="H89" s="16" t="str">
        <x:v>2026-03-01 17:04:00</x:v>
      </x:c>
      <x:c r="I89" s="14" t="str">
        <x:v>HASH00100087</x:v>
      </x:c>
    </x:row>
    <x:row r="90">
      <x:c r="A90" s="14" t="str">
        <x:v>M00089</x:v>
      </x:c>
      <x:c r="B90" s="14" t="str">
        <x:v>C0029</x:v>
      </x:c>
      <x:c r="C90" s="14" t="str">
        <x:v>E034</x:v>
      </x:c>
      <x:c r="D90" s="16" t="str">
        <x:v>2026-03-03 15:00:00</x:v>
      </x:c>
      <x:c r="E90" s="14" t="str">
        <x:v>We will circle back next week with a decision.</x:v>
      </x:c>
      <x:c r="F90" s="14" t="str">
        <x:v>en</x:v>
      </x:c>
      <x:c r="G90" s="14" t="n">
        <x:v>1</x:v>
      </x:c>
      <x:c r="H90" s="16" t="str">
        <x:v>2026-03-03 15:09:00</x:v>
      </x:c>
      <x:c r="I90" s="14" t="str">
        <x:v>HASH00100088</x:v>
      </x:c>
    </x:row>
    <x:row r="91">
      <x:c r="A91" s="14" t="str">
        <x:v>M00090</x:v>
      </x:c>
      <x:c r="B91" s="14" t="str">
        <x:v>C0030</x:v>
      </x:c>
      <x:c r="C91" s="14" t="str">
        <x:v>E001</x:v>
      </x:c>
      <x:c r="D91" s="16" t="str">
        <x:v>2026-03-05 21:00:00</x:v>
      </x:c>
      <x:c r="E91" s="14" t="str">
        <x:v>Can you confirm the owner and close the open action?</x:v>
      </x:c>
      <x:c r="F91" s="14" t="str">
        <x:v>en</x:v>
      </x:c>
      <x:c r="G91" s="14" t="n">
        <x:v>0</x:v>
      </x:c>
      <x:c r="H91" s="16" t="str">
        <x:v>2026-03-05 21:05:00</x:v>
      </x:c>
      <x:c r="I91" s="14" t="str">
        <x:v>HASH00100089</x:v>
      </x:c>
    </x:row>
    <x:row r="92">
      <x:c r="A92" s="14" t="str">
        <x:v>M00091</x:v>
      </x:c>
      <x:c r="B92" s="14" t="str">
        <x:v>C0031</x:v>
      </x:c>
      <x:c r="C92" s="14" t="str">
        <x:v>E009</x:v>
      </x:c>
      <x:c r="D92" s="16" t="str">
        <x:v>2026-03-06 11:00:00</x:v>
      </x:c>
      <x:c r="E92" s="14" t="str">
        <x:v>The dependency is still blocked by vendor access.</x:v>
      </x:c>
      <x:c r="F92" s="14" t="str">
        <x:v>en</x:v>
      </x:c>
      <x:c r="G92" s="14" t="n">
        <x:v>0</x:v>
      </x:c>
      <x:c r="H92" s="16" t="str">
        <x:v>2026-03-06 11:02:00</x:v>
      </x:c>
      <x:c r="I92" s="14" t="str">
        <x:v>HASH00100090</x:v>
      </x:c>
    </x:row>
    <x:row r="93">
      <x:c r="A93" s="14" t="str">
        <x:v>M00092</x:v>
      </x:c>
      <x:c r="B93" s="14" t="str">
        <x:v>C0032</x:v>
      </x:c>
      <x:c r="C93" s="14" t="str">
        <x:v>E016</x:v>
      </x:c>
      <x:c r="D93" s="16" t="str">
        <x:v>2026-03-08 19:00:00</x:v>
      </x:c>
      <x:c r="E93" s="14" t="str">
        <x:v>I completed the draft and attached it for review.</x:v>
      </x:c>
      <x:c r="F93" s="14" t="str">
        <x:v>en</x:v>
      </x:c>
      <x:c r="G93" s="14" t="n">
        <x:v>0</x:v>
      </x:c>
      <x:c r="H93" s="16" t="str">
        <x:v>2026-03-08 19:14:00</x:v>
      </x:c>
      <x:c r="I93" s="14" t="str">
        <x:v>HASH00100091</x:v>
      </x:c>
    </x:row>
    <x:row r="94">
      <x:c r="A94" s="14" t="str">
        <x:v>M00093</x:v>
      </x:c>
      <x:c r="B94" s="14" t="str">
        <x:v>C0033</x:v>
      </x:c>
      <x:c r="C94" s="14" t="str">
        <x:v>E023</x:v>
      </x:c>
      <x:c r="D94" s="16" t="str">
        <x:v>2026-03-10 23:00:00</x:v>
      </x:c>
      <x:c r="E94" s="14" t="str">
        <x:v>We need to reassign this because the current owner is on leave.</x:v>
      </x:c>
      <x:c r="F94" s="14" t="str">
        <x:v>en</x:v>
      </x:c>
      <x:c r="G94" s="14" t="n">
        <x:v>0</x:v>
      </x:c>
      <x:c r="H94" s="16" t="str">
        <x:v>2026-03-10 23:01:00</x:v>
      </x:c>
      <x:c r="I94" s="14" t="str">
        <x:v>HASH00100092</x:v>
      </x:c>
    </x:row>
    <x:row r="95">
      <x:c r="A95" s="14" t="str">
        <x:v>M00094</x:v>
      </x:c>
      <x:c r="B95" s="14" t="str">
        <x:v>C0034</x:v>
      </x:c>
      <x:c r="C95" s="14" t="str">
        <x:v>E030</x:v>
      </x:c>
      <x:c r="D95" s="16" t="str">
        <x:v>2026-03-13 02:00:00</x:v>
      </x:c>
      <x:c r="E95" s="14" t="str">
        <x:v>Please escalate if there is no response within 48 hours.</x:v>
      </x:c>
      <x:c r="F95" s="14" t="str">
        <x:v>en</x:v>
      </x:c>
      <x:c r="G95" s="14" t="n">
        <x:v>0</x:v>
      </x:c>
      <x:c r="H95" s="16" t="str">
        <x:v>2026-03-13 02:06:00</x:v>
      </x:c>
      <x:c r="I95" s="14" t="str">
        <x:v>HASH00100093</x:v>
      </x:c>
    </x:row>
    <x:row r="96">
      <x:c r="A96" s="14" t="str">
        <x:v>M00095</x:v>
      </x:c>
      <x:c r="B96" s="14" t="str">
        <x:v>C0035</x:v>
      </x:c>
      <x:c r="C96" s="14" t="str">
        <x:v>E037</x:v>
      </x:c>
      <x:c r="D96" s="16" t="str">
        <x:v>2026-03-15 08:00:00</x:v>
      </x:c>
      <x:c r="E96" s="14" t="str">
        <x:v>The customer expects an update by end of day.</x:v>
      </x:c>
      <x:c r="F96" s="14" t="str">
        <x:v>en</x:v>
      </x:c>
      <x:c r="G96" s="14" t="n">
        <x:v>0</x:v>
      </x:c>
      <x:c r="H96" s="16" t="str">
        <x:v>2026-03-15 08:11:00</x:v>
      </x:c>
      <x:c r="I96" s="14" t="str">
        <x:v>HASH00100094</x:v>
      </x:c>
    </x:row>
    <x:row r="97">
      <x:c r="A97" s="14" t="str">
        <x:v>M00096</x:v>
      </x:c>
      <x:c r="B97" s="14" t="str">
        <x:v>C0036</x:v>
      </x:c>
      <x:c r="C97" s="14" t="str">
        <x:v>E005</x:v>
      </x:c>
      <x:c r="D97" s="16" t="str">
        <x:v>2026-03-17 07:00:00</x:v>
      </x:c>
      <x:c r="E97" s="14" t="str">
        <x:v>No action is required until finance validates the forecast.</x:v>
      </x:c>
      <x:c r="F97" s="14" t="str">
        <x:v>en</x:v>
      </x:c>
      <x:c r="G97" s="14" t="n">
        <x:v>0</x:v>
      </x:c>
      <x:c r="H97" s="16" t="str">
        <x:v>2026-03-17 07:03:00</x:v>
      </x:c>
      <x:c r="I97" s="14" t="str">
        <x:v>HASH00100095</x:v>
      </x:c>
    </x:row>
    <x:row r="98">
      <x:c r="A98" s="14" t="str">
        <x:v>M00097</x:v>
      </x:c>
      <x:c r="B98" s="14" t="str">
        <x:v>C0037</x:v>
      </x:c>
      <x:c r="C98" s="14" t="str">
        <x:v>E012</x:v>
      </x:c>
      <x:c r="D98" s="16" t="str">
        <x:v>2026-03-19 13:00:00</x:v>
      </x:c>
      <x:c r="E98" s="14" t="str">
        <x:v>I will send the revised analysis by Wednesday.</x:v>
      </x:c>
      <x:c r="F98" s="14" t="str">
        <x:v>en</x:v>
      </x:c>
      <x:c r="G98" s="14" t="n">
        <x:v>0</x:v>
      </x:c>
      <x:c r="H98" s="16" t="str">
        <x:v>2026-03-19 13:09:00</x:v>
      </x:c>
      <x:c r="I98" s="14" t="str">
        <x:v>HASH00100096</x:v>
      </x:c>
    </x:row>
    <x:row r="99">
      <x:c r="A99" s="14" t="str">
        <x:v>M00098</x:v>
      </x:c>
      <x:c r="B99" s="14" t="str">
        <x:v>C0038</x:v>
      </x:c>
      <x:c r="C99" s="14" t="str">
        <x:v>E019</x:v>
      </x:c>
      <x:c r="D99" s="16" t="str">
        <x:v>2026-03-21 18:00:00</x:v>
      </x:c>
      <x:c r="E99" s="14" t="str">
        <x:v>Engineering will complete the fix in the next sprint.</x:v>
      </x:c>
      <x:c r="F99" s="14" t="str">
        <x:v>en</x:v>
      </x:c>
      <x:c r="G99" s="14" t="n">
        <x:v>0</x:v>
      </x:c>
      <x:c r="H99" s="16" t="str">
        <x:v>2026-03-21 18:09:00</x:v>
      </x:c>
      <x:c r="I99" s="14" t="str">
        <x:v>HASH00100097</x:v>
      </x:c>
    </x:row>
    <x:row r="100">
      <x:c r="A100" s="14" t="str">
        <x:v>M00099</x:v>
      </x:c>
      <x:c r="B100" s="14" t="str">
        <x:v>C0039</x:v>
      </x:c>
      <x:c r="C100" s="14" t="str">
        <x:v>E026</x:v>
      </x:c>
      <x:c r="D100" s="16" t="str">
        <x:v>2026-03-23 20:00:00</x:v>
      </x:c>
      <x:c r="E100" s="14" t="str">
        <x:v>Let's revisit this after the quarter-end release.</x:v>
      </x:c>
      <x:c r="F100" s="14" t="str">
        <x:v>en</x:v>
      </x:c>
      <x:c r="G100" s="14" t="n">
        <x:v>0</x:v>
      </x:c>
      <x:c r="H100" s="16" t="str">
        <x:v>2026-03-23 20:02:00</x:v>
      </x:c>
      <x:c r="I100" s="14" t="str">
        <x:v>HASH00100098</x:v>
      </x:c>
    </x:row>
    <x:row r="101">
      <x:c r="A101" s="14" t="str">
        <x:v>M00100</x:v>
      </x:c>
      <x:c r="B101" s="14" t="str">
        <x:v>C0040</x:v>
      </x:c>
      <x:c r="C101" s="14" t="str">
        <x:v>E033</x:v>
      </x:c>
      <x:c r="D101" s="16" t="str">
        <x:v>2026-03-24 13:00:00</x:v>
      </x:c>
      <x:c r="E101" s="14" t="str">
        <x:v>I will get legal approval before July 31.</x:v>
      </x:c>
      <x:c r="F101" s="14" t="str">
        <x:v>en</x:v>
      </x:c>
      <x:c r="G101" s="14" t="n">
        <x:v>1</x:v>
      </x:c>
      <x:c r="H101" s="16" t="str">
        <x:v>2026-03-24 13:15:00</x:v>
      </x:c>
      <x:c r="I101" s="14" t="str">
        <x:v>HASH00100099</x:v>
      </x:c>
    </x:row>
    <x:row r="102">
      <x:c r="A102" s="14" t="str">
        <x:v>M00101</x:v>
      </x:c>
      <x:c r="B102" s="14" t="str">
        <x:v>C0041</x:v>
      </x:c>
      <x:c r="C102" s="14" t="str">
        <x:v>E001</x:v>
      </x:c>
      <x:c r="D102" s="16" t="str">
        <x:v>2026-03-26 19:00:00</x:v>
      </x:c>
      <x:c r="E102" s="14" t="str">
        <x:v>We will circle back next week with a decision.</x:v>
      </x:c>
      <x:c r="F102" s="14" t="str">
        <x:v>en</x:v>
      </x:c>
      <x:c r="G102" s="14" t="n">
        <x:v>0</x:v>
      </x:c>
      <x:c r="H102" s="16" t="str">
        <x:v>2026-03-26 19:09:00</x:v>
      </x:c>
      <x:c r="I102" s="14" t="str">
        <x:v>HASH00100100</x:v>
      </x:c>
    </x:row>
    <x:row r="103">
      <x:c r="A103" s="14" t="str">
        <x:v>M00102</x:v>
      </x:c>
      <x:c r="B103" s="14" t="str">
        <x:v>C0042</x:v>
      </x:c>
      <x:c r="C103" s="14" t="str">
        <x:v>E008</x:v>
      </x:c>
      <x:c r="D103" s="16" t="str">
        <x:v>2026-03-28 23:00:00</x:v>
      </x:c>
      <x:c r="E103" s="14" t="str">
        <x:v>Can you confirm the owner and close the open action?</x:v>
      </x:c>
      <x:c r="F103" s="14" t="str">
        <x:v>en</x:v>
      </x:c>
      <x:c r="G103" s="14" t="n">
        <x:v>0</x:v>
      </x:c>
      <x:c r="H103" s="16" t="str">
        <x:v>2026-03-28 23:14:00</x:v>
      </x:c>
      <x:c r="I103" s="14" t="str">
        <x:v>HASH00100101</x:v>
      </x:c>
    </x:row>
    <x:row r="104">
      <x:c r="A104" s="14" t="str">
        <x:v>M00103</x:v>
      </x:c>
      <x:c r="B104" s="14" t="str">
        <x:v>C0043</x:v>
      </x:c>
      <x:c r="C104" s="14" t="str">
        <x:v>E015</x:v>
      </x:c>
      <x:c r="D104" s="16" t="str">
        <x:v>2026-03-30 23:00:00</x:v>
      </x:c>
      <x:c r="E104" s="14" t="str">
        <x:v>The dependency is still blocked by vendor access.</x:v>
      </x:c>
      <x:c r="F104" s="14" t="str">
        <x:v>en</x:v>
      </x:c>
      <x:c r="G104" s="14" t="n">
        <x:v>0</x:v>
      </x:c>
      <x:c r="H104" s="16" t="str">
        <x:v>2026-03-30 23:10:00</x:v>
      </x:c>
      <x:c r="I104" s="14" t="str">
        <x:v>HASH00100102</x:v>
      </x:c>
    </x:row>
    <x:row r="105">
      <x:c r="A105" s="14" t="str">
        <x:v>M00104</x:v>
      </x:c>
      <x:c r="B105" s="14" t="str">
        <x:v>C0044</x:v>
      </x:c>
      <x:c r="C105" s="14" t="str">
        <x:v>E022</x:v>
      </x:c>
      <x:c r="D105" s="16" t="str">
        <x:v>2026-04-02 03:00:00</x:v>
      </x:c>
      <x:c r="E105" s="14" t="str">
        <x:v>I completed the draft and attached it for review.</x:v>
      </x:c>
      <x:c r="F105" s="14" t="str">
        <x:v>en</x:v>
      </x:c>
      <x:c r="G105" s="14" t="n">
        <x:v>0</x:v>
      </x:c>
      <x:c r="H105" s="16" t="str">
        <x:v>2026-04-02 03:07:00</x:v>
      </x:c>
      <x:c r="I105" s="14" t="str">
        <x:v>HASH00100103</x:v>
      </x:c>
    </x:row>
    <x:row r="106">
      <x:c r="A106" s="14" t="str">
        <x:v>M00105</x:v>
      </x:c>
      <x:c r="B106" s="14" t="str">
        <x:v>C0045</x:v>
      </x:c>
      <x:c r="C106" s="14" t="str">
        <x:v>E029</x:v>
      </x:c>
      <x:c r="D106" s="16" t="str">
        <x:v>2026-04-04 08:00:00</x:v>
      </x:c>
      <x:c r="E106" s="14" t="str">
        <x:v>We need to reassign this because the current owner is on leave.</x:v>
      </x:c>
      <x:c r="F106" s="14" t="str">
        <x:v>en</x:v>
      </x:c>
      <x:c r="G106" s="14" t="n">
        <x:v>0</x:v>
      </x:c>
      <x:c r="H106" s="16" t="str">
        <x:v>2026-04-04 08:01:00</x:v>
      </x:c>
      <x:c r="I106" s="14" t="str">
        <x:v>HASH00100104</x:v>
      </x:c>
    </x:row>
    <x:row r="107">
      <x:c r="A107" s="14" t="str">
        <x:v>M00106</x:v>
      </x:c>
      <x:c r="B107" s="14" t="str">
        <x:v>C0046</x:v>
      </x:c>
      <x:c r="C107" s="14" t="str">
        <x:v>E037</x:v>
      </x:c>
      <x:c r="D107" s="16" t="str">
        <x:v>2026-04-06 14:00:00</x:v>
      </x:c>
      <x:c r="E107" s="14" t="str">
        <x:v>Please escalate if there is no response within 48 hours.</x:v>
      </x:c>
      <x:c r="F107" s="14" t="str">
        <x:v>en</x:v>
      </x:c>
      <x:c r="G107" s="14" t="n">
        <x:v>0</x:v>
      </x:c>
      <x:c r="H107" s="16" t="str">
        <x:v>2026-04-06 14:06:00</x:v>
      </x:c>
      <x:c r="I107" s="14" t="str">
        <x:v>HASH00100105</x:v>
      </x:c>
    </x:row>
    <x:row r="108">
      <x:c r="A108" s="14" t="str">
        <x:v>M00107</x:v>
      </x:c>
      <x:c r="B108" s="14" t="str">
        <x:v>C0047</x:v>
      </x:c>
      <x:c r="C108" s="14" t="str">
        <x:v>E004</x:v>
      </x:c>
      <x:c r="D108" s="16" t="str">
        <x:v>2026-04-08 17:00:00</x:v>
      </x:c>
      <x:c r="E108" s="14" t="str">
        <x:v>The customer expects an update by end of day.</x:v>
      </x:c>
      <x:c r="F108" s="14" t="str">
        <x:v>en</x:v>
      </x:c>
      <x:c r="G108" s="14" t="n">
        <x:v>0</x:v>
      </x:c>
      <x:c r="H108" s="16" t="str">
        <x:v>2026-04-08 17:15:00</x:v>
      </x:c>
      <x:c r="I108" s="14" t="str">
        <x:v>HASH00100106</x:v>
      </x:c>
    </x:row>
    <x:row r="109">
      <x:c r="A109" s="14" t="str">
        <x:v>M00108</x:v>
      </x:c>
      <x:c r="B109" s="14" t="str">
        <x:v>C0048</x:v>
      </x:c>
      <x:c r="C109" s="14" t="str">
        <x:v>E011</x:v>
      </x:c>
      <x:c r="D109" s="16" t="str">
        <x:v>2026-04-11 00:00:00</x:v>
      </x:c>
      <x:c r="E109" s="14" t="str">
        <x:v>No action is required until finance validates the forecast.</x:v>
      </x:c>
      <x:c r="F109" s="14" t="str">
        <x:v>en</x:v>
      </x:c>
      <x:c r="G109" s="14" t="n">
        <x:v>0</x:v>
      </x:c>
      <x:c r="H109" s="16" t="str">
        <x:v>2026-04-11 00:04:00</x:v>
      </x:c>
      <x:c r="I109" s="14" t="str">
        <x:v>HASH00100107</x:v>
      </x:c>
    </x:row>
    <x:row r="110">
      <x:c r="A110" s="14" t="str">
        <x:v>M00109</x:v>
      </x:c>
      <x:c r="B110" s="14" t="str">
        <x:v>C0049</x:v>
      </x:c>
      <x:c r="C110" s="14" t="str">
        <x:v>E018</x:v>
      </x:c>
      <x:c r="D110" s="16" t="str">
        <x:v>2026-04-11 16:00:00</x:v>
      </x:c>
      <x:c r="E110" s="14" t="str">
        <x:v>I will send the revised analysis by end of week.</x:v>
      </x:c>
      <x:c r="F110" s="14" t="str">
        <x:v>en</x:v>
      </x:c>
      <x:c r="G110" s="14" t="n">
        <x:v>0</x:v>
      </x:c>
      <x:c r="H110" s="16" t="str">
        <x:v>2026-04-11 16:11:00</x:v>
      </x:c>
      <x:c r="I110" s="14" t="str">
        <x:v>HASH00100108</x:v>
      </x:c>
    </x:row>
    <x:row r="111">
      <x:c r="A111" s="14" t="str">
        <x:v>M00110</x:v>
      </x:c>
      <x:c r="B111" s="14" t="str">
        <x:v>C0050</x:v>
      </x:c>
      <x:c r="C111" s="14" t="str">
        <x:v>E025</x:v>
      </x:c>
      <x:c r="D111" s="16" t="str">
        <x:v>2026-04-13 13:00:00</x:v>
      </x:c>
      <x:c r="E111" s="14" t="str">
        <x:v>Engineering will complete the fix in the next sprint.</x:v>
      </x:c>
      <x:c r="F111" s="14" t="str">
        <x:v>en</x:v>
      </x:c>
      <x:c r="G111" s="14" t="n">
        <x:v>0</x:v>
      </x:c>
      <x:c r="H111" s="16" t="str">
        <x:v>2026-04-13 13:06:00</x:v>
      </x:c>
      <x:c r="I111" s="14" t="str">
        <x:v>HASH00100109</x:v>
      </x:c>
    </x:row>
    <x:row r="112">
      <x:c r="A112" s="14" t="str">
        <x:v>M00111</x:v>
      </x:c>
      <x:c r="B112" s="14" t="str">
        <x:v>C0051</x:v>
      </x:c>
      <x:c r="C112" s="14" t="str">
        <x:v>E033</x:v>
      </x:c>
      <x:c r="D112" s="16" t="str">
        <x:v>2026-04-15 21:00:00</x:v>
      </x:c>
      <x:c r="E112" s="14" t="str">
        <x:v>Let's revisit this after the 4.2 release.</x:v>
      </x:c>
      <x:c r="F112" s="14" t="str">
        <x:v>en</x:v>
      </x:c>
      <x:c r="G112" s="14" t="n">
        <x:v>1</x:v>
      </x:c>
      <x:c r="H112" s="16" t="str">
        <x:v>2026-04-15 21:10:00</x:v>
      </x:c>
      <x:c r="I112" s="14" t="str">
        <x:v>HASH00100110</x:v>
      </x:c>
    </x:row>
    <x:row r="113">
      <x:c r="A113" s="14" t="str">
        <x:v>M00112</x:v>
      </x:c>
      <x:c r="B113" s="14" t="str">
        <x:v>C0052</x:v>
      </x:c>
      <x:c r="C113" s="14" t="str">
        <x:v>E040</x:v>
      </x:c>
      <x:c r="D113" s="16" t="str">
        <x:v>2026-04-18 00:00:00</x:v>
      </x:c>
      <x:c r="E113" s="14" t="str">
        <x:v>I will get legal approval before Wednesday.</x:v>
      </x:c>
      <x:c r="F113" s="14" t="str">
        <x:v>en</x:v>
      </x:c>
      <x:c r="G113" s="14" t="n">
        <x:v>0</x:v>
      </x:c>
      <x:c r="H113" s="16" t="str">
        <x:v>2026-04-18 00:15:00</x:v>
      </x:c>
      <x:c r="I113" s="14" t="str">
        <x:v>HASH00100111</x:v>
      </x:c>
    </x:row>
    <x:row r="114">
      <x:c r="A114" s="14" t="str">
        <x:v>M00113</x:v>
      </x:c>
      <x:c r="B114" s="14" t="str">
        <x:v>C0053</x:v>
      </x:c>
      <x:c r="C114" s="14" t="str">
        <x:v>E007</x:v>
      </x:c>
      <x:c r="D114" s="16" t="str">
        <x:v>2026-04-20 05:00:00</x:v>
      </x:c>
      <x:c r="E114" s="14" t="str">
        <x:v>We will circle back next week with a decision.</x:v>
      </x:c>
      <x:c r="F114" s="14" t="str">
        <x:v>en</x:v>
      </x:c>
      <x:c r="G114" s="14" t="n">
        <x:v>0</x:v>
      </x:c>
      <x:c r="H114" s="16" t="str">
        <x:v>2026-04-20 05:14:00</x:v>
      </x:c>
      <x:c r="I114" s="14" t="str">
        <x:v>HASH00100112</x:v>
      </x:c>
    </x:row>
    <x:row r="115">
      <x:c r="A115" s="14" t="str">
        <x:v>M00114</x:v>
      </x:c>
      <x:c r="B115" s="14" t="str">
        <x:v>C0054</x:v>
      </x:c>
      <x:c r="C115" s="14" t="str">
        <x:v>E014</x:v>
      </x:c>
      <x:c r="D115" s="16" t="str">
        <x:v>2026-04-22 10:00:00</x:v>
      </x:c>
      <x:c r="E115" s="14" t="str">
        <x:v>Can you confirm the owner and close the open action?</x:v>
      </x:c>
      <x:c r="F115" s="14" t="str">
        <x:v>en</x:v>
      </x:c>
      <x:c r="G115" s="14" t="n">
        <x:v>0</x:v>
      </x:c>
      <x:c r="H115" s="16" t="str">
        <x:v>2026-04-22 10:13:00</x:v>
      </x:c>
      <x:c r="I115" s="14" t="str">
        <x:v>HASH00100113</x:v>
      </x:c>
    </x:row>
    <x:row r="116">
      <x:c r="A116" s="14" t="str">
        <x:v>M00115</x:v>
      </x:c>
      <x:c r="B116" s="14" t="str">
        <x:v>C0055</x:v>
      </x:c>
      <x:c r="C116" s="14" t="str">
        <x:v>E021</x:v>
      </x:c>
      <x:c r="D116" s="16" t="str">
        <x:v>2026-04-24 15:00:00</x:v>
      </x:c>
      <x:c r="E116" s="14" t="str">
        <x:v>The dependency is still blocked by vendor access.</x:v>
      </x:c>
      <x:c r="F116" s="14" t="str">
        <x:v>en</x:v>
      </x:c>
      <x:c r="G116" s="14" t="n">
        <x:v>0</x:v>
      </x:c>
      <x:c r="H116" s="16" t="str">
        <x:v>2026-04-24 15:15:00</x:v>
      </x:c>
      <x:c r="I116" s="14" t="str">
        <x:v>HASH00100114</x:v>
      </x:c>
    </x:row>
    <x:row r="117">
      <x:c r="A117" s="14" t="str">
        <x:v>M00116</x:v>
      </x:c>
      <x:c r="B117" s="14" t="str">
        <x:v>C0056</x:v>
      </x:c>
      <x:c r="C117" s="14" t="str">
        <x:v>E029</x:v>
      </x:c>
      <x:c r="D117" s="16" t="str">
        <x:v>2026-04-26 22:00:00</x:v>
      </x:c>
      <x:c r="E117" s="14" t="str">
        <x:v>I completed the draft and attached it for review.</x:v>
      </x:c>
      <x:c r="F117" s="14" t="str">
        <x:v>en</x:v>
      </x:c>
      <x:c r="G117" s="14" t="n">
        <x:v>0</x:v>
      </x:c>
      <x:c r="H117" s="16" t="str">
        <x:v>2026-04-26 22:01:00</x:v>
      </x:c>
      <x:c r="I117" s="14" t="str">
        <x:v>HASH00100115</x:v>
      </x:c>
    </x:row>
    <x:row r="118">
      <x:c r="A118" s="14" t="str">
        <x:v>M00117</x:v>
      </x:c>
      <x:c r="B118" s="14" t="str">
        <x:v>C0057</x:v>
      </x:c>
      <x:c r="C118" s="14" t="str">
        <x:v>E036</x:v>
      </x:c>
      <x:c r="D118" s="16" t="str">
        <x:v>2026-04-28 18:00:00</x:v>
      </x:c>
      <x:c r="E118" s="14" t="str">
        <x:v>We need to reassign this because the current owner is on leave.</x:v>
      </x:c>
      <x:c r="F118" s="14" t="str">
        <x:v>en</x:v>
      </x:c>
      <x:c r="G118" s="14" t="n">
        <x:v>0</x:v>
      </x:c>
      <x:c r="H118" s="16" t="str">
        <x:v>2026-04-28 18:12:00</x:v>
      </x:c>
      <x:c r="I118" s="14" t="str">
        <x:v>HASH00100116</x:v>
      </x:c>
    </x:row>
    <x:row r="119">
      <x:c r="A119" s="14" t="str">
        <x:v>M00118</x:v>
      </x:c>
      <x:c r="B119" s="14" t="str">
        <x:v>C0058</x:v>
      </x:c>
      <x:c r="C119" s="14" t="str">
        <x:v>E003</x:v>
      </x:c>
      <x:c r="D119" s="16" t="str">
        <x:v>2026-04-29 12:00:00</x:v>
      </x:c>
      <x:c r="E119" s="14" t="str">
        <x:v>Please escalate if there is no response within 48 hours.</x:v>
      </x:c>
      <x:c r="F119" s="14" t="str">
        <x:v>en</x:v>
      </x:c>
      <x:c r="G119" s="14" t="n">
        <x:v>0</x:v>
      </x:c>
      <x:c r="H119" s="16" t="str">
        <x:v>2026-04-29 12:13:00</x:v>
      </x:c>
      <x:c r="I119" s="14" t="str">
        <x:v>HASH00100117</x:v>
      </x:c>
    </x:row>
    <x:row r="120">
      <x:c r="A120" s="14" t="str">
        <x:v>M00119</x:v>
      </x:c>
      <x:c r="B120" s="14" t="str">
        <x:v>C0059</x:v>
      </x:c>
      <x:c r="C120" s="14" t="str">
        <x:v>E010</x:v>
      </x:c>
      <x:c r="D120" s="16" t="str">
        <x:v>2026-05-01 18:00:00</x:v>
      </x:c>
      <x:c r="E120" s="14" t="str">
        <x:v>The customer expects an update by end of day.</x:v>
      </x:c>
      <x:c r="F120" s="14" t="str">
        <x:v>en</x:v>
      </x:c>
      <x:c r="G120" s="14" t="n">
        <x:v>0</x:v>
      </x:c>
      <x:c r="H120" s="16" t="str">
        <x:v>2026-05-01 18:13:00</x:v>
      </x:c>
      <x:c r="I120" s="14" t="str">
        <x:v>HASH00100118</x:v>
      </x:c>
    </x:row>
    <x:row r="121">
      <x:c r="A121" s="14" t="str">
        <x:v>M00120</x:v>
      </x:c>
      <x:c r="B121" s="14" t="str">
        <x:v>C0060</x:v>
      </x:c>
      <x:c r="C121" s="14" t="str">
        <x:v>E017</x:v>
      </x:c>
      <x:c r="D121" s="16" t="str">
        <x:v>2026-05-03 21:00:00</x:v>
      </x:c>
      <x:c r="E121" s="14" t="str">
        <x:v>No action is required until finance validates the forecast.</x:v>
      </x:c>
      <x:c r="F121" s="14" t="str">
        <x:v>en</x:v>
      </x:c>
      <x:c r="G121" s="14" t="n">
        <x:v>0</x:v>
      </x:c>
      <x:c r="H121" s="16" t="str">
        <x:v>2026-05-03 21:05:00</x:v>
      </x:c>
      <x:c r="I121" s="14" t="str">
        <x:v>HASH00100119</x:v>
      </x:c>
    </x:row>
    <x:row r="122">
      <x:c r="A122" s="14" t="str">
        <x:v>M00121</x:v>
      </x:c>
      <x:c r="B122" s="14" t="str">
        <x:v>C0001</x:v>
      </x:c>
      <x:c r="C122" s="14" t="str">
        <x:v>E025</x:v>
      </x:c>
      <x:c r="D122" s="16" t="str">
        <x:v>2026-01-05 22:00:00</x:v>
      </x:c>
      <x:c r="E122" s="14" t="str">
        <x:v>I will send the revised analysis by Tuesday.</x:v>
      </x:c>
      <x:c r="F122" s="14" t="str">
        <x:v>en</x:v>
      </x:c>
      <x:c r="G122" s="14" t="n">
        <x:v>0</x:v>
      </x:c>
      <x:c r="H122" s="16" t="str">
        <x:v>2026-01-05 22:13:00</x:v>
      </x:c>
      <x:c r="I122" s="14" t="str">
        <x:v>HASH00100120</x:v>
      </x:c>
    </x:row>
    <x:row r="123">
      <x:c r="A123" s="14" t="str">
        <x:v>M00122</x:v>
      </x:c>
      <x:c r="B123" s="14" t="str">
        <x:v>C0002</x:v>
      </x:c>
      <x:c r="C123" s="14" t="str">
        <x:v>E032</x:v>
      </x:c>
      <x:c r="D123" s="16" t="str">
        <x:v>2026-01-08 02:00:00</x:v>
      </x:c>
      <x:c r="E123" s="14" t="str">
        <x:v>Engineering will complete the fix in the next sprint.</x:v>
      </x:c>
      <x:c r="F123" s="14" t="str">
        <x:v>en</x:v>
      </x:c>
      <x:c r="G123" s="14" t="n">
        <x:v>1</x:v>
      </x:c>
      <x:c r="H123" s="16" t="str">
        <x:v>2026-01-08 02:07:00</x:v>
      </x:c>
      <x:c r="I123" s="14" t="str">
        <x:v>HASH00100121</x:v>
      </x:c>
    </x:row>
    <x:row r="124">
      <x:c r="A124" s="14" t="str">
        <x:v>M00123</x:v>
      </x:c>
      <x:c r="B124" s="14" t="str">
        <x:v>C0003</x:v>
      </x:c>
      <x:c r="C124" s="14" t="str">
        <x:v>E039</x:v>
      </x:c>
      <x:c r="D124" s="16" t="str">
        <x:v>2026-01-10 07:00:00</x:v>
      </x:c>
      <x:c r="E124" s="14" t="str">
        <x:v>Let's revisit this after the security release.</x:v>
      </x:c>
      <x:c r="F124" s="14" t="str">
        <x:v>en</x:v>
      </x:c>
      <x:c r="G124" s="14" t="n">
        <x:v>0</x:v>
      </x:c>
      <x:c r="H124" s="16" t="str">
        <x:v>2026-01-10 07:14:00</x:v>
      </x:c>
      <x:c r="I124" s="14" t="str">
        <x:v>HASH00100122</x:v>
      </x:c>
    </x:row>
    <x:row r="125">
      <x:c r="A125" s="14" t="str">
        <x:v>M00124</x:v>
      </x:c>
      <x:c r="B125" s="14" t="str">
        <x:v>C0004</x:v>
      </x:c>
      <x:c r="C125" s="14" t="str">
        <x:v>E006</x:v>
      </x:c>
      <x:c r="D125" s="16" t="str">
        <x:v>2026-01-12 15:00:00</x:v>
      </x:c>
      <x:c r="E125" s="14" t="str">
        <x:v>I will get legal approval before end of week.</x:v>
      </x:c>
      <x:c r="F125" s="14" t="str">
        <x:v>en</x:v>
      </x:c>
      <x:c r="G125" s="14" t="n">
        <x:v>0</x:v>
      </x:c>
      <x:c r="H125" s="16" t="str">
        <x:v>2026-01-12 15:04:00</x:v>
      </x:c>
      <x:c r="I125" s="14" t="str">
        <x:v>HASH00100123</x:v>
      </x:c>
    </x:row>
    <x:row r="126">
      <x:c r="A126" s="14" t="str">
        <x:v>M00125</x:v>
      </x:c>
      <x:c r="B126" s="14" t="str">
        <x:v>C0005</x:v>
      </x:c>
      <x:c r="C126" s="14" t="str">
        <x:v>E013</x:v>
      </x:c>
      <x:c r="D126" s="16" t="str">
        <x:v>2026-01-14 18:00:00</x:v>
      </x:c>
      <x:c r="E126" s="14" t="str">
        <x:v>We will circle back next week with a decision.</x:v>
      </x:c>
      <x:c r="F126" s="14" t="str">
        <x:v>en</x:v>
      </x:c>
      <x:c r="G126" s="14" t="n">
        <x:v>0</x:v>
      </x:c>
      <x:c r="H126" s="16" t="str">
        <x:v>2026-01-14 18:14:00</x:v>
      </x:c>
      <x:c r="I126" s="14" t="str">
        <x:v>HASH00100124</x:v>
      </x:c>
    </x:row>
    <x:row r="127">
      <x:c r="A127" s="14" t="str">
        <x:v>M00126</x:v>
      </x:c>
      <x:c r="B127" s="14" t="str">
        <x:v>C0006</x:v>
      </x:c>
      <x:c r="C127" s="14" t="str">
        <x:v>E021</x:v>
      </x:c>
      <x:c r="D127" s="16" t="str">
        <x:v>2026-01-17 01:00:00</x:v>
      </x:c>
      <x:c r="E127" s="14" t="str">
        <x:v>Can you confirm the owner and close the open action?</x:v>
      </x:c>
      <x:c r="F127" s="14" t="str">
        <x:v>en</x:v>
      </x:c>
      <x:c r="G127" s="14" t="n">
        <x:v>0</x:v>
      </x:c>
      <x:c r="H127" s="16" t="str">
        <x:v>2026-01-17 01:06:00</x:v>
      </x:c>
      <x:c r="I127" s="14" t="str">
        <x:v>HASH00100125</x:v>
      </x:c>
    </x:row>
    <x:row r="128">
      <x:c r="A128" s="14" t="str">
        <x:v>M00127</x:v>
      </x:c>
      <x:c r="B128" s="14" t="str">
        <x:v>C0007</x:v>
      </x:c>
      <x:c r="C128" s="14" t="str">
        <x:v>E028</x:v>
      </x:c>
      <x:c r="D128" s="16" t="str">
        <x:v>2026-01-17 17:00:00</x:v>
      </x:c>
      <x:c r="E128" s="14" t="str">
        <x:v>The dependency is still blocked by vendor access.</x:v>
      </x:c>
      <x:c r="F128" s="14" t="str">
        <x:v>en</x:v>
      </x:c>
      <x:c r="G128" s="14" t="n">
        <x:v>0</x:v>
      </x:c>
      <x:c r="H128" s="16" t="str">
        <x:v>2026-01-17 17:14:00</x:v>
      </x:c>
      <x:c r="I128" s="14" t="str">
        <x:v>HASH00100126</x:v>
      </x:c>
    </x:row>
    <x:row r="129">
      <x:c r="A129" s="14" t="str">
        <x:v>M00128</x:v>
      </x:c>
      <x:c r="B129" s="14" t="str">
        <x:v>C0008</x:v>
      </x:c>
      <x:c r="C129" s="14" t="str">
        <x:v>E035</x:v>
      </x:c>
      <x:c r="D129" s="16" t="str">
        <x:v>2026-01-19 14:00:00</x:v>
      </x:c>
      <x:c r="E129" s="14" t="str">
        <x:v>I completed the draft and attached it for review.</x:v>
      </x:c>
      <x:c r="F129" s="14" t="str">
        <x:v>en</x:v>
      </x:c>
      <x:c r="G129" s="14" t="n">
        <x:v>0</x:v>
      </x:c>
      <x:c r="H129" s="16" t="str">
        <x:v>2026-01-19 14:04:00</x:v>
      </x:c>
      <x:c r="I129" s="14" t="str">
        <x:v>HASH00100127</x:v>
      </x:c>
    </x:row>
    <x:row r="130">
      <x:c r="A130" s="14" t="str">
        <x:v>M00129</x:v>
      </x:c>
      <x:c r="B130" s="14" t="str">
        <x:v>C0009</x:v>
      </x:c>
      <x:c r="C130" s="14" t="str">
        <x:v>E002</x:v>
      </x:c>
      <x:c r="D130" s="16" t="str">
        <x:v>2026-01-21 18:00:00</x:v>
      </x:c>
      <x:c r="E130" s="14" t="str">
        <x:v>We need to reassign this because the current owner is on leave.</x:v>
      </x:c>
      <x:c r="F130" s="14" t="str">
        <x:v>en</x:v>
      </x:c>
      <x:c r="G130" s="14" t="n">
        <x:v>0</x:v>
      </x:c>
      <x:c r="H130" s="16" t="str">
        <x:v>2026-01-21 18:11:00</x:v>
      </x:c>
      <x:c r="I130" s="14" t="str">
        <x:v>HASH00100128</x:v>
      </x:c>
    </x:row>
    <x:row r="131">
      <x:c r="A131" s="14" t="str">
        <x:v>M00130</x:v>
      </x:c>
      <x:c r="B131" s="14" t="str">
        <x:v>C0010</x:v>
      </x:c>
      <x:c r="C131" s="14" t="str">
        <x:v>E009</x:v>
      </x:c>
      <x:c r="D131" s="16" t="str">
        <x:v>2026-01-24 00:00:00</x:v>
      </x:c>
      <x:c r="E131" s="14" t="str">
        <x:v>Please escalate if there is no response within 48 hours.</x:v>
      </x:c>
      <x:c r="F131" s="14" t="str">
        <x:v>en</x:v>
      </x:c>
      <x:c r="G131" s="14" t="n">
        <x:v>0</x:v>
      </x:c>
      <x:c r="H131" s="16" t="str">
        <x:v>2026-01-24 00:07:00</x:v>
      </x:c>
      <x:c r="I131" s="14" t="str">
        <x:v>HASH00100129</x:v>
      </x:c>
    </x:row>
    <x:row r="132">
      <x:c r="A132" s="14" t="str">
        <x:v>M00131</x:v>
      </x:c>
      <x:c r="B132" s="14" t="str">
        <x:v>C0011</x:v>
      </x:c>
      <x:c r="C132" s="14" t="str">
        <x:v>E017</x:v>
      </x:c>
      <x:c r="D132" s="16" t="str">
        <x:v>2026-01-26 06:00:00</x:v>
      </x:c>
      <x:c r="E132" s="14" t="str">
        <x:v>The customer expects an update by end of day.</x:v>
      </x:c>
      <x:c r="F132" s="14" t="str">
        <x:v>en</x:v>
      </x:c>
      <x:c r="G132" s="14" t="n">
        <x:v>0</x:v>
      </x:c>
      <x:c r="H132" s="16" t="str">
        <x:v>2026-01-26 06:05:00</x:v>
      </x:c>
      <x:c r="I132" s="14" t="str">
        <x:v>HASH00100130</x:v>
      </x:c>
    </x:row>
    <x:row r="133">
      <x:c r="A133" s="14" t="str">
        <x:v>M00132</x:v>
      </x:c>
      <x:c r="B133" s="14" t="str">
        <x:v>C0012</x:v>
      </x:c>
      <x:c r="C133" s="14" t="str">
        <x:v>E024</x:v>
      </x:c>
      <x:c r="D133" s="16" t="str">
        <x:v>2026-01-28 09:00:00</x:v>
      </x:c>
      <x:c r="E133" s="14" t="str">
        <x:v>No action is required until finance validates the forecast.</x:v>
      </x:c>
      <x:c r="F133" s="14" t="str">
        <x:v>en</x:v>
      </x:c>
      <x:c r="G133" s="14" t="n">
        <x:v>0</x:v>
      </x:c>
      <x:c r="H133" s="16" t="str">
        <x:v>2026-01-28 09:13:00</x:v>
      </x:c>
      <x:c r="I133" s="14" t="str">
        <x:v>HASH00100131</x:v>
      </x:c>
    </x:row>
    <x:row r="134">
      <x:c r="A134" s="14" t="str">
        <x:v>M00133</x:v>
      </x:c>
      <x:c r="B134" s="14" t="str">
        <x:v>C0013</x:v>
      </x:c>
      <x:c r="C134" s="14" t="str">
        <x:v>E031</x:v>
      </x:c>
      <x:c r="D134" s="16" t="str">
        <x:v>2026-01-30 16:00:00</x:v>
      </x:c>
      <x:c r="E134" s="14" t="str">
        <x:v>I will send the revised analysis by Friday.</x:v>
      </x:c>
      <x:c r="F134" s="14" t="str">
        <x:v>en</x:v>
      </x:c>
      <x:c r="G134" s="14" t="n">
        <x:v>1</x:v>
      </x:c>
      <x:c r="H134" s="16" t="str">
        <x:v>2026-01-30 16:06:00</x:v>
      </x:c>
      <x:c r="I134" s="14" t="str">
        <x:v>HASH00100132</x:v>
      </x:c>
    </x:row>
    <x:row r="135">
      <x:c r="A135" s="14" t="str">
        <x:v>M00134</x:v>
      </x:c>
      <x:c r="B135" s="14" t="str">
        <x:v>C0014</x:v>
      </x:c>
      <x:c r="C135" s="14" t="str">
        <x:v>E038</x:v>
      </x:c>
      <x:c r="D135" s="16" t="str">
        <x:v>2026-02-01 22:00:00</x:v>
      </x:c>
      <x:c r="E135" s="14" t="str">
        <x:v>Engineering will complete the fix in the next sprint.</x:v>
      </x:c>
      <x:c r="F135" s="14" t="str">
        <x:v>en</x:v>
      </x:c>
      <x:c r="G135" s="14" t="n">
        <x:v>0</x:v>
      </x:c>
      <x:c r="H135" s="16" t="str">
        <x:v>2026-02-01 22:11:00</x:v>
      </x:c>
      <x:c r="I135" s="14" t="str">
        <x:v>HASH00100133</x:v>
      </x:c>
    </x:row>
    <x:row r="136">
      <x:c r="A136" s="14" t="str">
        <x:v>M00135</x:v>
      </x:c>
      <x:c r="B136" s="14" t="str">
        <x:v>C0015</x:v>
      </x:c>
      <x:c r="C136" s="14" t="str">
        <x:v>E005</x:v>
      </x:c>
      <x:c r="D136" s="16" t="str">
        <x:v>2026-02-03 19:00:00</x:v>
      </x:c>
      <x:c r="E136" s="14" t="str">
        <x:v>Let's revisit this after the production release.</x:v>
      </x:c>
      <x:c r="F136" s="14" t="str">
        <x:v>en</x:v>
      </x:c>
      <x:c r="G136" s="14" t="n">
        <x:v>0</x:v>
      </x:c>
      <x:c r="H136" s="16" t="str">
        <x:v>2026-02-03 19:01:00</x:v>
      </x:c>
      <x:c r="I136" s="14" t="str">
        <x:v>HASH00100134</x:v>
      </x:c>
    </x:row>
    <x:row r="137">
      <x:c r="A137" s="14" t="str">
        <x:v>M00136</x:v>
      </x:c>
      <x:c r="B137" s="14" t="str">
        <x:v>C0016</x:v>
      </x:c>
      <x:c r="C137" s="14" t="str">
        <x:v>E013</x:v>
      </x:c>
      <x:c r="D137" s="16" t="str">
        <x:v>2026-02-04 10:00:00</x:v>
      </x:c>
      <x:c r="E137" s="14" t="str">
        <x:v>I will get legal approval before Tuesday.</x:v>
      </x:c>
      <x:c r="F137" s="14" t="str">
        <x:v>en</x:v>
      </x:c>
      <x:c r="G137" s="14" t="n">
        <x:v>0</x:v>
      </x:c>
      <x:c r="H137" s="16" t="str">
        <x:v>2026-02-04 10:15:00</x:v>
      </x:c>
      <x:c r="I137" s="14" t="str">
        <x:v>HASH00100135</x:v>
      </x:c>
    </x:row>
    <x:row r="138">
      <x:c r="A138" s="14" t="str">
        <x:v>M00137</x:v>
      </x:c>
      <x:c r="B138" s="14" t="str">
        <x:v>C0017</x:v>
      </x:c>
      <x:c r="C138" s="14" t="str">
        <x:v>E020</x:v>
      </x:c>
      <x:c r="D138" s="16" t="str">
        <x:v>2026-02-06 17:00:00</x:v>
      </x:c>
      <x:c r="E138" s="14" t="str">
        <x:v>We will circle back next week with a decision.</x:v>
      </x:c>
      <x:c r="F138" s="14" t="str">
        <x:v>en</x:v>
      </x:c>
      <x:c r="G138" s="14" t="n">
        <x:v>0</x:v>
      </x:c>
      <x:c r="H138" s="16" t="str">
        <x:v>2026-02-06 17:03:00</x:v>
      </x:c>
      <x:c r="I138" s="14" t="str">
        <x:v>HASH00100136</x:v>
      </x:c>
    </x:row>
    <x:row r="139">
      <x:c r="A139" s="14" t="str">
        <x:v>M00138</x:v>
      </x:c>
      <x:c r="B139" s="14" t="str">
        <x:v>C0018</x:v>
      </x:c>
      <x:c r="C139" s="14" t="str">
        <x:v>E027</x:v>
      </x:c>
      <x:c r="D139" s="16" t="str">
        <x:v>2026-02-08 22:00:00</x:v>
      </x:c>
      <x:c r="E139" s="14" t="str">
        <x:v>Can you confirm the owner and close the open action?</x:v>
      </x:c>
      <x:c r="F139" s="14" t="str">
        <x:v>en</x:v>
      </x:c>
      <x:c r="G139" s="14" t="n">
        <x:v>0</x:v>
      </x:c>
      <x:c r="H139" s="16" t="str">
        <x:v>2026-02-08 22:01:00</x:v>
      </x:c>
      <x:c r="I139" s="14" t="str">
        <x:v>HASH00100137</x:v>
      </x:c>
    </x:row>
    <x:row r="140">
      <x:c r="A140" s="14" t="str">
        <x:v>M00139</x:v>
      </x:c>
      <x:c r="B140" s="14" t="str">
        <x:v>C0019</x:v>
      </x:c>
      <x:c r="C140" s="14" t="str">
        <x:v>E034</x:v>
      </x:c>
      <x:c r="D140" s="16" t="str">
        <x:v>2026-02-11 01:00:00</x:v>
      </x:c>
      <x:c r="E140" s="14" t="str">
        <x:v>The dependency is still blocked by vendor access.</x:v>
      </x:c>
      <x:c r="F140" s="14" t="str">
        <x:v>en</x:v>
      </x:c>
      <x:c r="G140" s="14" t="n">
        <x:v>0</x:v>
      </x:c>
      <x:c r="H140" s="16" t="str">
        <x:v>2026-02-11 01:10:00</x:v>
      </x:c>
      <x:c r="I140" s="14" t="str">
        <x:v>HASH00100138</x:v>
      </x:c>
    </x:row>
    <x:row r="141">
      <x:c r="A141" s="14" t="str">
        <x:v>M00140</x:v>
      </x:c>
      <x:c r="B141" s="14" t="str">
        <x:v>C0020</x:v>
      </x:c>
      <x:c r="C141" s="14" t="str">
        <x:v>E001</x:v>
      </x:c>
      <x:c r="D141" s="16" t="str">
        <x:v>2026-02-13 09:00:00</x:v>
      </x:c>
      <x:c r="E141" s="14" t="str">
        <x:v>I completed the draft and attached it for review.</x:v>
      </x:c>
      <x:c r="F141" s="14" t="str">
        <x:v>en</x:v>
      </x:c>
      <x:c r="G141" s="14" t="n">
        <x:v>0</x:v>
      </x:c>
      <x:c r="H141" s="16" t="str">
        <x:v>2026-02-13 09:06:00</x:v>
      </x:c>
      <x:c r="I141" s="14" t="str">
        <x:v>HASH00100139</x:v>
      </x:c>
    </x:row>
    <x:row r="142">
      <x:c r="A142" s="14" t="str">
        <x:v>M00141</x:v>
      </x:c>
      <x:c r="B142" s="14" t="str">
        <x:v>C0021</x:v>
      </x:c>
      <x:c r="C142" s="14" t="str">
        <x:v>E009</x:v>
      </x:c>
      <x:c r="D142" s="16" t="str">
        <x:v>2026-02-15 13:00:00</x:v>
      </x:c>
      <x:c r="E142" s="14" t="str">
        <x:v>We need to reassign this because the current owner is on leave.</x:v>
      </x:c>
      <x:c r="F142" s="14" t="str">
        <x:v>en</x:v>
      </x:c>
      <x:c r="G142" s="14" t="n">
        <x:v>0</x:v>
      </x:c>
      <x:c r="H142" s="16" t="str">
        <x:v>2026-02-15 13:07:00</x:v>
      </x:c>
      <x:c r="I142" s="14" t="str">
        <x:v>HASH00100140</x:v>
      </x:c>
    </x:row>
    <x:row r="143">
      <x:c r="A143" s="14" t="str">
        <x:v>M00142</x:v>
      </x:c>
      <x:c r="B143" s="14" t="str">
        <x:v>C0022</x:v>
      </x:c>
      <x:c r="C143" s="14" t="str">
        <x:v>E016</x:v>
      </x:c>
      <x:c r="D143" s="16" t="str">
        <x:v>2026-02-17 09:00:00</x:v>
      </x:c>
      <x:c r="E143" s="14" t="str">
        <x:v>Please escalate if there is no response within 48 hours.</x:v>
      </x:c>
      <x:c r="F143" s="14" t="str">
        <x:v>en</x:v>
      </x:c>
      <x:c r="G143" s="14" t="n">
        <x:v>0</x:v>
      </x:c>
      <x:c r="H143" s="16" t="str">
        <x:v>2026-02-17 09:07:00</x:v>
      </x:c>
      <x:c r="I143" s="14" t="str">
        <x:v>HASH00100141</x:v>
      </x:c>
    </x:row>
    <x:row r="144">
      <x:c r="A144" s="14" t="str">
        <x:v>M00143</x:v>
      </x:c>
      <x:c r="B144" s="14" t="str">
        <x:v>C0023</x:v>
      </x:c>
      <x:c r="C144" s="14" t="str">
        <x:v>E023</x:v>
      </x:c>
      <x:c r="D144" s="16" t="str">
        <x:v>2026-02-19 15:00:00</x:v>
      </x:c>
      <x:c r="E144" s="14" t="str">
        <x:v>The customer expects an update by end of day.</x:v>
      </x:c>
      <x:c r="F144" s="14" t="str">
        <x:v>en</x:v>
      </x:c>
      <x:c r="G144" s="14" t="n">
        <x:v>0</x:v>
      </x:c>
      <x:c r="H144" s="16" t="str">
        <x:v>2026-02-19 15:05:00</x:v>
      </x:c>
      <x:c r="I144" s="14" t="str">
        <x:v>HASH00100142</x:v>
      </x:c>
    </x:row>
    <x:row r="145">
      <x:c r="A145" s="14" t="str">
        <x:v>M00144</x:v>
      </x:c>
      <x:c r="B145" s="14" t="str">
        <x:v>C0024</x:v>
      </x:c>
      <x:c r="C145" s="14" t="str">
        <x:v>E030</x:v>
      </x:c>
      <x:c r="D145" s="16" t="str">
        <x:v>2026-02-21 19:00:00</x:v>
      </x:c>
      <x:c r="E145" s="14" t="str">
        <x:v>No action is required until finance validates the forecast.</x:v>
      </x:c>
      <x:c r="F145" s="14" t="str">
        <x:v>en</x:v>
      </x:c>
      <x:c r="G145" s="14" t="n">
        <x:v>1</x:v>
      </x:c>
      <x:c r="H145" s="16" t="str">
        <x:v>2026-02-21 19:12:00</x:v>
      </x:c>
      <x:c r="I145" s="14" t="str">
        <x:v>HASH00100143</x:v>
      </x:c>
    </x:row>
    <x:row r="146">
      <x:c r="A146" s="14" t="str">
        <x:v>M00145</x:v>
      </x:c>
      <x:c r="B146" s="14" t="str">
        <x:v>C0025</x:v>
      </x:c>
      <x:c r="C146" s="14" t="str">
        <x:v>E037</x:v>
      </x:c>
      <x:c r="D146" s="16" t="str">
        <x:v>2026-02-22 15:00:00</x:v>
      </x:c>
      <x:c r="E146" s="14" t="str">
        <x:v>I will send the revised analysis by July 31.</x:v>
      </x:c>
      <x:c r="F146" s="14" t="str">
        <x:v>en</x:v>
      </x:c>
      <x:c r="G146" s="14" t="n">
        <x:v>0</x:v>
      </x:c>
      <x:c r="H146" s="16" t="str">
        <x:v>2026-02-22 15:01:00</x:v>
      </x:c>
      <x:c r="I146" s="14" t="str">
        <x:v>HASH00100144</x:v>
      </x:c>
    </x:row>
    <x:row r="147">
      <x:c r="A147" s="14" t="str">
        <x:v>M00146</x:v>
      </x:c>
      <x:c r="B147" s="14" t="str">
        <x:v>C0026</x:v>
      </x:c>
      <x:c r="C147" s="14" t="str">
        <x:v>E005</x:v>
      </x:c>
      <x:c r="D147" s="16" t="str">
        <x:v>2026-02-24 18:00:00</x:v>
      </x:c>
      <x:c r="E147" s="14" t="str">
        <x:v>Engineering will complete the fix in the next sprint.</x:v>
      </x:c>
      <x:c r="F147" s="14" t="str">
        <x:v>en</x:v>
      </x:c>
      <x:c r="G147" s="14" t="n">
        <x:v>0</x:v>
      </x:c>
      <x:c r="H147" s="16" t="str">
        <x:v>2026-02-24 18:06:00</x:v>
      </x:c>
      <x:c r="I147" s="14" t="str">
        <x:v>HASH00100145</x:v>
      </x:c>
    </x:row>
    <x:row r="148">
      <x:c r="A148" s="14" t="str">
        <x:v>M00147</x:v>
      </x:c>
      <x:c r="B148" s="14" t="str">
        <x:v>C0027</x:v>
      </x:c>
      <x:c r="C148" s="14" t="str">
        <x:v>E012</x:v>
      </x:c>
      <x:c r="D148" s="16" t="str">
        <x:v>2026-02-27 01:00:00</x:v>
      </x:c>
      <x:c r="E148" s="14" t="str">
        <x:v>Let's revisit this after the pilot release.</x:v>
      </x:c>
      <x:c r="F148" s="14" t="str">
        <x:v>en</x:v>
      </x:c>
      <x:c r="G148" s="14" t="n">
        <x:v>0</x:v>
      </x:c>
      <x:c r="H148" s="16" t="str">
        <x:v>2026-02-27 01:02:00</x:v>
      </x:c>
      <x:c r="I148" s="14" t="str">
        <x:v>HASH00100146</x:v>
      </x:c>
    </x:row>
    <x:row r="149">
      <x:c r="A149" s="14" t="str">
        <x:v>M00148</x:v>
      </x:c>
      <x:c r="B149" s="14" t="str">
        <x:v>C0028</x:v>
      </x:c>
      <x:c r="C149" s="14" t="str">
        <x:v>E019</x:v>
      </x:c>
      <x:c r="D149" s="16" t="str">
        <x:v>2026-03-01 05:00:00</x:v>
      </x:c>
      <x:c r="E149" s="14" t="str">
        <x:v>I will get legal approval before Friday.</x:v>
      </x:c>
      <x:c r="F149" s="14" t="str">
        <x:v>en</x:v>
      </x:c>
      <x:c r="G149" s="14" t="n">
        <x:v>0</x:v>
      </x:c>
      <x:c r="H149" s="16" t="str">
        <x:v>2026-03-01 05:10:00</x:v>
      </x:c>
      <x:c r="I149" s="14" t="str">
        <x:v>HASH00100147</x:v>
      </x:c>
    </x:row>
    <x:row r="150">
      <x:c r="A150" s="14" t="str">
        <x:v>M00149</x:v>
      </x:c>
      <x:c r="B150" s="14" t="str">
        <x:v>C0029</x:v>
      </x:c>
      <x:c r="C150" s="14" t="str">
        <x:v>E026</x:v>
      </x:c>
      <x:c r="D150" s="16" t="str">
        <x:v>2026-03-03 03:00:00</x:v>
      </x:c>
      <x:c r="E150" s="14" t="str">
        <x:v>We will circle back next week with a decision.</x:v>
      </x:c>
      <x:c r="F150" s="14" t="str">
        <x:v>en</x:v>
      </x:c>
      <x:c r="G150" s="14" t="n">
        <x:v>0</x:v>
      </x:c>
      <x:c r="H150" s="16" t="str">
        <x:v>2026-03-03 03:11:00</x:v>
      </x:c>
      <x:c r="I150" s="14" t="str">
        <x:v>HASH00100148</x:v>
      </x:c>
    </x:row>
    <x:row r="151">
      <x:c r="A151" s="14" t="str">
        <x:v>M00150</x:v>
      </x:c>
      <x:c r="B151" s="14" t="str">
        <x:v>C0030</x:v>
      </x:c>
      <x:c r="C151" s="14" t="str">
        <x:v>E033</x:v>
      </x:c>
      <x:c r="D151" s="16" t="str">
        <x:v>2026-03-05 06:00:00</x:v>
      </x:c>
      <x:c r="E151" s="14" t="str">
        <x:v>Can you confirm the owner and close the open action?</x:v>
      </x:c>
      <x:c r="F151" s="14" t="str">
        <x:v>en</x:v>
      </x:c>
      <x:c r="G151" s="14" t="n">
        <x:v>0</x:v>
      </x:c>
      <x:c r="H151" s="16" t="str">
        <x:v>2026-03-05 06:12:00</x:v>
      </x:c>
      <x:c r="I151" s="14" t="str">
        <x:v>HASH00100149</x:v>
      </x:c>
    </x:row>
    <x:row r="152">
      <x:c r="A152" s="14" t="str">
        <x:v>M00151</x:v>
      </x:c>
      <x:c r="B152" s="14" t="str">
        <x:v>C0031</x:v>
      </x:c>
      <x:c r="C152" s="14" t="str">
        <x:v>E001</x:v>
      </x:c>
      <x:c r="D152" s="16" t="str">
        <x:v>2026-03-07 13:00:00</x:v>
      </x:c>
      <x:c r="E152" s="14" t="str">
        <x:v>The dependency is still blocked by vendor access.</x:v>
      </x:c>
      <x:c r="F152" s="14" t="str">
        <x:v>en</x:v>
      </x:c>
      <x:c r="G152" s="14" t="n">
        <x:v>0</x:v>
      </x:c>
      <x:c r="H152" s="16" t="str">
        <x:v>2026-03-07 13:09:00</x:v>
      </x:c>
      <x:c r="I152" s="14" t="str">
        <x:v>HASH00100150</x:v>
      </x:c>
    </x:row>
    <x:row r="153">
      <x:c r="A153" s="14" t="str">
        <x:v>M00152</x:v>
      </x:c>
      <x:c r="B153" s="14" t="str">
        <x:v>C0032</x:v>
      </x:c>
      <x:c r="C153" s="14" t="str">
        <x:v>E008</x:v>
      </x:c>
      <x:c r="D153" s="16" t="str">
        <x:v>2026-03-09 18:00:00</x:v>
      </x:c>
      <x:c r="E153" s="14" t="str">
        <x:v>I completed the draft and attached it for review.</x:v>
      </x:c>
      <x:c r="F153" s="14" t="str">
        <x:v>en</x:v>
      </x:c>
      <x:c r="G153" s="14" t="n">
        <x:v>0</x:v>
      </x:c>
      <x:c r="H153" s="16" t="str">
        <x:v>2026-03-09 18:11:00</x:v>
      </x:c>
      <x:c r="I153" s="14" t="str">
        <x:v>HASH00100151</x:v>
      </x:c>
    </x:row>
    <x:row r="154">
      <x:c r="A154" s="14" t="str">
        <x:v>M00153</x:v>
      </x:c>
      <x:c r="B154" s="14" t="str">
        <x:v>C0033</x:v>
      </x:c>
      <x:c r="C154" s="14" t="str">
        <x:v>E015</x:v>
      </x:c>
      <x:c r="D154" s="16" t="str">
        <x:v>2026-03-12 00:00:00</x:v>
      </x:c>
      <x:c r="E154" s="14" t="str">
        <x:v>We need to reassign this because the current owner is on leave.</x:v>
      </x:c>
      <x:c r="F154" s="14" t="str">
        <x:v>en</x:v>
      </x:c>
      <x:c r="G154" s="14" t="n">
        <x:v>0</x:v>
      </x:c>
      <x:c r="H154" s="16" t="str">
        <x:v>2026-03-12 00:06:00</x:v>
      </x:c>
      <x:c r="I154" s="14" t="str">
        <x:v>HASH00100152</x:v>
      </x:c>
    </x:row>
    <x:row r="155">
      <x:c r="A155" s="14" t="str">
        <x:v>M00154</x:v>
      </x:c>
      <x:c r="B155" s="14" t="str">
        <x:v>C0034</x:v>
      </x:c>
      <x:c r="C155" s="14" t="str">
        <x:v>E022</x:v>
      </x:c>
      <x:c r="D155" s="16" t="str">
        <x:v>2026-03-12 17:00:00</x:v>
      </x:c>
      <x:c r="E155" s="14" t="str">
        <x:v>Please escalate if there is no response within 48 hours.</x:v>
      </x:c>
      <x:c r="F155" s="14" t="str">
        <x:v>en</x:v>
      </x:c>
      <x:c r="G155" s="14" t="n">
        <x:v>0</x:v>
      </x:c>
      <x:c r="H155" s="16" t="str">
        <x:v>2026-03-12 17:12:00</x:v>
      </x:c>
      <x:c r="I155" s="14" t="str">
        <x:v>HASH00100153</x:v>
      </x:c>
    </x:row>
    <x:row r="156">
      <x:c r="A156" s="14" t="str">
        <x:v>M00155</x:v>
      </x:c>
      <x:c r="B156" s="14" t="str">
        <x:v>C0035</x:v>
      </x:c>
      <x:c r="C156" s="14" t="str">
        <x:v>E029</x:v>
      </x:c>
      <x:c r="D156" s="16" t="str">
        <x:v>2026-03-14 21:00:00</x:v>
      </x:c>
      <x:c r="E156" s="14" t="str">
        <x:v>The customer expects an update by end of day.</x:v>
      </x:c>
      <x:c r="F156" s="14" t="str">
        <x:v>en</x:v>
      </x:c>
      <x:c r="G156" s="14" t="n">
        <x:v>1</x:v>
      </x:c>
      <x:c r="H156" s="16" t="str">
        <x:v>2026-03-14 21:09:00</x:v>
      </x:c>
      <x:c r="I156" s="14" t="str">
        <x:v>HASH00100154</x:v>
      </x:c>
    </x:row>
    <x:row r="157">
      <x:c r="A157" s="14" t="str">
        <x:v>M00156</x:v>
      </x:c>
      <x:c r="B157" s="14" t="str">
        <x:v>C0036</x:v>
      </x:c>
      <x:c r="C157" s="14" t="str">
        <x:v>E037</x:v>
      </x:c>
      <x:c r="D157" s="16" t="str">
        <x:v>2026-03-16 18:00:00</x:v>
      </x:c>
      <x:c r="E157" s="14" t="str">
        <x:v>No action is required until finance validates the forecast.</x:v>
      </x:c>
      <x:c r="F157" s="14" t="str">
        <x:v>en</x:v>
      </x:c>
      <x:c r="G157" s="14" t="n">
        <x:v>0</x:v>
      </x:c>
      <x:c r="H157" s="16" t="str">
        <x:v>2026-03-16 18:04:00</x:v>
      </x:c>
      <x:c r="I157" s="14" t="str">
        <x:v>HASH00100155</x:v>
      </x:c>
    </x:row>
    <x:row r="158">
      <x:c r="A158" s="14" t="str">
        <x:v>M00157</x:v>
      </x:c>
      <x:c r="B158" s="14" t="str">
        <x:v>C0037</x:v>
      </x:c>
      <x:c r="C158" s="14" t="str">
        <x:v>E004</x:v>
      </x:c>
      <x:c r="D158" s="16" t="str">
        <x:v>2026-03-19 01:00:00</x:v>
      </x:c>
      <x:c r="E158" s="14" t="str">
        <x:v>I will send the revised analysis by Wednesday.</x:v>
      </x:c>
      <x:c r="F158" s="14" t="str">
        <x:v>en</x:v>
      </x:c>
      <x:c r="G158" s="14" t="n">
        <x:v>0</x:v>
      </x:c>
      <x:c r="H158" s="16" t="str">
        <x:v>2026-03-19 01:11:00</x:v>
      </x:c>
      <x:c r="I158" s="14" t="str">
        <x:v>HASH00100156</x:v>
      </x:c>
    </x:row>
    <x:row r="159">
      <x:c r="A159" s="14" t="str">
        <x:v>M00158</x:v>
      </x:c>
      <x:c r="B159" s="14" t="str">
        <x:v>C0038</x:v>
      </x:c>
      <x:c r="C159" s="14" t="str">
        <x:v>E011</x:v>
      </x:c>
      <x:c r="D159" s="16" t="str">
        <x:v>2026-03-21 06:00:00</x:v>
      </x:c>
      <x:c r="E159" s="14" t="str">
        <x:v>Engineering will complete the fix in the next sprint.</x:v>
      </x:c>
      <x:c r="F159" s="14" t="str">
        <x:v>en</x:v>
      </x:c>
      <x:c r="G159" s="14" t="n">
        <x:v>0</x:v>
      </x:c>
      <x:c r="H159" s="16" t="str">
        <x:v>2026-03-21 06:11:00</x:v>
      </x:c>
      <x:c r="I159" s="14" t="str">
        <x:v>HASH00100157</x:v>
      </x:c>
    </x:row>
    <x:row r="160">
      <x:c r="A160" s="14" t="str">
        <x:v>M00159</x:v>
      </x:c>
      <x:c r="B160" s="14" t="str">
        <x:v>C0039</x:v>
      </x:c>
      <x:c r="C160" s="14" t="str">
        <x:v>E018</x:v>
      </x:c>
      <x:c r="D160" s="16" t="str">
        <x:v>2026-03-23 09:00:00</x:v>
      </x:c>
      <x:c r="E160" s="14" t="str">
        <x:v>Let's revisit this after the quarter-end release.</x:v>
      </x:c>
      <x:c r="F160" s="14" t="str">
        <x:v>en</x:v>
      </x:c>
      <x:c r="G160" s="14" t="n">
        <x:v>0</x:v>
      </x:c>
      <x:c r="H160" s="16" t="str">
        <x:v>2026-03-23 09:10:00</x:v>
      </x:c>
      <x:c r="I160" s="14" t="str">
        <x:v>HASH00100158</x:v>
      </x:c>
    </x:row>
    <x:row r="161">
      <x:c r="A161" s="14" t="str">
        <x:v>M00160</x:v>
      </x:c>
      <x:c r="B161" s="14" t="str">
        <x:v>C0040</x:v>
      </x:c>
      <x:c r="C161" s="14" t="str">
        <x:v>E025</x:v>
      </x:c>
      <x:c r="D161" s="16" t="str">
        <x:v>2026-03-25 15:00:00</x:v>
      </x:c>
      <x:c r="E161" s="14" t="str">
        <x:v>I will get legal approval before July 31.</x:v>
      </x:c>
      <x:c r="F161" s="14" t="str">
        <x:v>en</x:v>
      </x:c>
      <x:c r="G161" s="14" t="n">
        <x:v>0</x:v>
      </x:c>
      <x:c r="H161" s="16" t="str">
        <x:v>2026-03-25 15:07:00</x:v>
      </x:c>
      <x:c r="I161" s="14" t="str">
        <x:v>HASH00100159</x:v>
      </x:c>
    </x:row>
    <x:row r="162">
      <x:c r="A162" s="14" t="str">
        <x:v>M00161</x:v>
      </x:c>
      <x:c r="B162" s="14" t="str">
        <x:v>C0041</x:v>
      </x:c>
      <x:c r="C162" s="14" t="str">
        <x:v>E033</x:v>
      </x:c>
      <x:c r="D162" s="16" t="str">
        <x:v>2026-03-27 18:00:00</x:v>
      </x:c>
      <x:c r="E162" s="14" t="str">
        <x:v>We will circle back next week with a decision.</x:v>
      </x:c>
      <x:c r="F162" s="14" t="str">
        <x:v>en</x:v>
      </x:c>
      <x:c r="G162" s="14" t="n">
        <x:v>0</x:v>
      </x:c>
      <x:c r="H162" s="16" t="str">
        <x:v>2026-03-27 18:05:00</x:v>
      </x:c>
      <x:c r="I162" s="14" t="str">
        <x:v>HASH00100160</x:v>
      </x:c>
    </x:row>
    <x:row r="163">
      <x:c r="A163" s="14" t="str">
        <x:v>M00162</x:v>
      </x:c>
      <x:c r="B163" s="14" t="str">
        <x:v>C0042</x:v>
      </x:c>
      <x:c r="C163" s="14" t="str">
        <x:v>E040</x:v>
      </x:c>
      <x:c r="D163" s="16" t="str">
        <x:v>2026-03-30 01:00:00</x:v>
      </x:c>
      <x:c r="E163" s="14" t="str">
        <x:v>Can you confirm the owner and close the open action?</x:v>
      </x:c>
      <x:c r="F163" s="14" t="str">
        <x:v>en</x:v>
      </x:c>
      <x:c r="G163" s="14" t="n">
        <x:v>0</x:v>
      </x:c>
      <x:c r="H163" s="16" t="str">
        <x:v>2026-03-30 01:04:00</x:v>
      </x:c>
      <x:c r="I163" s="14" t="str">
        <x:v>HASH00100161</x:v>
      </x:c>
    </x:row>
    <x:row r="164">
      <x:c r="A164" s="14" t="str">
        <x:v>M00163</x:v>
      </x:c>
      <x:c r="B164" s="14" t="str">
        <x:v>C0043</x:v>
      </x:c>
      <x:c r="C164" s="14" t="str">
        <x:v>E007</x:v>
      </x:c>
      <x:c r="D164" s="16" t="str">
        <x:v>2026-03-30 12:00:00</x:v>
      </x:c>
      <x:c r="E164" s="14" t="str">
        <x:v>The dependency is still blocked by vendor access.</x:v>
      </x:c>
      <x:c r="F164" s="14" t="str">
        <x:v>en</x:v>
      </x:c>
      <x:c r="G164" s="14" t="n">
        <x:v>0</x:v>
      </x:c>
      <x:c r="H164" s="16" t="str">
        <x:v>2026-03-30 12:13:00</x:v>
      </x:c>
      <x:c r="I164" s="14" t="str">
        <x:v>HASH00100162</x:v>
      </x:c>
    </x:row>
    <x:row r="165">
      <x:c r="A165" s="14" t="str">
        <x:v>M00164</x:v>
      </x:c>
      <x:c r="B165" s="14" t="str">
        <x:v>C0044</x:v>
      </x:c>
      <x:c r="C165" s="14" t="str">
        <x:v>E014</x:v>
      </x:c>
      <x:c r="D165" s="16" t="str">
        <x:v>2026-04-01 16:00:00</x:v>
      </x:c>
      <x:c r="E165" s="14" t="str">
        <x:v>I completed the draft and attached it for review.</x:v>
      </x:c>
      <x:c r="F165" s="14" t="str">
        <x:v>en</x:v>
      </x:c>
      <x:c r="G165" s="14" t="n">
        <x:v>0</x:v>
      </x:c>
      <x:c r="H165" s="16" t="str">
        <x:v>2026-04-01 16:08:00</x:v>
      </x:c>
      <x:c r="I165" s="14" t="str">
        <x:v>HASH00100163</x:v>
      </x:c>
    </x:row>
    <x:row r="166">
      <x:c r="A166" s="14" t="str">
        <x:v>M00165</x:v>
      </x:c>
      <x:c r="B166" s="14" t="str">
        <x:v>C0045</x:v>
      </x:c>
      <x:c r="C166" s="14" t="str">
        <x:v>E021</x:v>
      </x:c>
      <x:c r="D166" s="16" t="str">
        <x:v>2026-04-03 22:00:00</x:v>
      </x:c>
      <x:c r="E166" s="14" t="str">
        <x:v>We need to reassign this because the current owner is on leave.</x:v>
      </x:c>
      <x:c r="F166" s="14" t="str">
        <x:v>en</x:v>
      </x:c>
      <x:c r="G166" s="14" t="n">
        <x:v>0</x:v>
      </x:c>
      <x:c r="H166" s="16" t="str">
        <x:v>2026-04-03 22:08:00</x:v>
      </x:c>
      <x:c r="I166" s="14" t="str">
        <x:v>HASH00100164</x:v>
      </x:c>
    </x:row>
    <x:row r="167">
      <x:c r="A167" s="14" t="str">
        <x:v>M00166</x:v>
      </x:c>
      <x:c r="B167" s="14" t="str">
        <x:v>C0046</x:v>
      </x:c>
      <x:c r="C167" s="14" t="str">
        <x:v>E029</x:v>
      </x:c>
      <x:c r="D167" s="16" t="str">
        <x:v>2026-04-06 01:00:00</x:v>
      </x:c>
      <x:c r="E167" s="14" t="str">
        <x:v>Please escalate if there is no response within 48 hours.</x:v>
      </x:c>
      <x:c r="F167" s="14" t="str">
        <x:v>en</x:v>
      </x:c>
      <x:c r="G167" s="14" t="n">
        <x:v>1</x:v>
      </x:c>
      <x:c r="H167" s="16" t="str">
        <x:v>2026-04-06 01:09:00</x:v>
      </x:c>
      <x:c r="I167" s="14" t="str">
        <x:v>HASH00100165</x:v>
      </x:c>
    </x:row>
    <x:row r="168">
      <x:c r="A168" s="14" t="str">
        <x:v>M00167</x:v>
      </x:c>
      <x:c r="B168" s="14" t="str">
        <x:v>C0047</x:v>
      </x:c>
      <x:c r="C168" s="14" t="str">
        <x:v>E036</x:v>
      </x:c>
      <x:c r="D168" s="16" t="str">
        <x:v>2026-04-08 08:00:00</x:v>
      </x:c>
      <x:c r="E168" s="14" t="str">
        <x:v>The customer expects an update by end of day.</x:v>
      </x:c>
      <x:c r="F168" s="14" t="str">
        <x:v>en</x:v>
      </x:c>
      <x:c r="G168" s="14" t="n">
        <x:v>0</x:v>
      </x:c>
      <x:c r="H168" s="16" t="str">
        <x:v>2026-04-08 08:13:00</x:v>
      </x:c>
      <x:c r="I168" s="14" t="str">
        <x:v>HASH00100166</x:v>
      </x:c>
    </x:row>
    <x:row r="169">
      <x:c r="A169" s="14" t="str">
        <x:v>M00168</x:v>
      </x:c>
      <x:c r="B169" s="14" t="str">
        <x:v>C0048</x:v>
      </x:c>
      <x:c r="C169" s="14" t="str">
        <x:v>E003</x:v>
      </x:c>
      <x:c r="D169" s="16" t="str">
        <x:v>2026-04-10 11:00:00</x:v>
      </x:c>
      <x:c r="E169" s="14" t="str">
        <x:v>No action is required until finance validates the forecast.</x:v>
      </x:c>
      <x:c r="F169" s="14" t="str">
        <x:v>en</x:v>
      </x:c>
      <x:c r="G169" s="14" t="n">
        <x:v>0</x:v>
      </x:c>
      <x:c r="H169" s="16" t="str">
        <x:v>2026-04-10 11:11:00</x:v>
      </x:c>
      <x:c r="I169" s="14" t="str">
        <x:v>HASH00100167</x:v>
      </x:c>
    </x:row>
    <x:row r="170">
      <x:c r="A170" s="14" t="str">
        <x:v>M00169</x:v>
      </x:c>
      <x:c r="B170" s="14" t="str">
        <x:v>C0049</x:v>
      </x:c>
      <x:c r="C170" s="14" t="str">
        <x:v>E010</x:v>
      </x:c>
      <x:c r="D170" s="16" t="str">
        <x:v>2026-04-12 15:00:00</x:v>
      </x:c>
      <x:c r="E170" s="14" t="str">
        <x:v>I will send the revised analysis by end of week.</x:v>
      </x:c>
      <x:c r="F170" s="14" t="str">
        <x:v>en</x:v>
      </x:c>
      <x:c r="G170" s="14" t="n">
        <x:v>0</x:v>
      </x:c>
      <x:c r="H170" s="16" t="str">
        <x:v>2026-04-12 15:05:00</x:v>
      </x:c>
      <x:c r="I170" s="14" t="str">
        <x:v>HASH00100168</x:v>
      </x:c>
    </x:row>
    <x:row r="171">
      <x:c r="A171" s="14" t="str">
        <x:v>M00170</x:v>
      </x:c>
      <x:c r="B171" s="14" t="str">
        <x:v>C0050</x:v>
      </x:c>
      <x:c r="C171" s="14" t="str">
        <x:v>E017</x:v>
      </x:c>
      <x:c r="D171" s="16" t="str">
        <x:v>2026-04-14 15:00:00</x:v>
      </x:c>
      <x:c r="E171" s="14" t="str">
        <x:v>Engineering will complete the fix in the next sprint.</x:v>
      </x:c>
      <x:c r="F171" s="14" t="str">
        <x:v>en</x:v>
      </x:c>
      <x:c r="G171" s="14" t="n">
        <x:v>0</x:v>
      </x:c>
      <x:c r="H171" s="16" t="str">
        <x:v>2026-04-14 15:02:00</x:v>
      </x:c>
      <x:c r="I171" s="14" t="str">
        <x:v>HASH00100169</x:v>
      </x:c>
    </x:row>
    <x:row r="172">
      <x:c r="A172" s="14" t="str">
        <x:v>M00171</x:v>
      </x:c>
      <x:c r="B172" s="14" t="str">
        <x:v>C0051</x:v>
      </x:c>
      <x:c r="C172" s="14" t="str">
        <x:v>E025</x:v>
      </x:c>
      <x:c r="D172" s="16" t="str">
        <x:v>2026-04-16 19:00:00</x:v>
      </x:c>
      <x:c r="E172" s="14" t="str">
        <x:v>Let's revisit this after the 4.2 release.</x:v>
      </x:c>
      <x:c r="F172" s="14" t="str">
        <x:v>en</x:v>
      </x:c>
      <x:c r="G172" s="14" t="n">
        <x:v>0</x:v>
      </x:c>
      <x:c r="H172" s="16" t="str">
        <x:v>2026-04-16 19:11:00</x:v>
      </x:c>
      <x:c r="I172" s="14" t="str">
        <x:v>HASH00100170</x:v>
      </x:c>
    </x:row>
    <x:row r="173">
      <x:c r="A173" s="14" t="str">
        <x:v>M00172</x:v>
      </x:c>
      <x:c r="B173" s="14" t="str">
        <x:v>C0052</x:v>
      </x:c>
      <x:c r="C173" s="14" t="str">
        <x:v>E032</x:v>
      </x:c>
      <x:c r="D173" s="16" t="str">
        <x:v>2026-04-17 13:00:00</x:v>
      </x:c>
      <x:c r="E173" s="14" t="str">
        <x:v>I will get legal approval before Wednesday.</x:v>
      </x:c>
      <x:c r="F173" s="14" t="str">
        <x:v>en</x:v>
      </x:c>
      <x:c r="G173" s="14" t="n">
        <x:v>0</x:v>
      </x:c>
      <x:c r="H173" s="16" t="str">
        <x:v>2026-04-17 13:04:00</x:v>
      </x:c>
      <x:c r="I173" s="14" t="str">
        <x:v>HASH00100171</x:v>
      </x:c>
    </x:row>
    <x:row r="174">
      <x:c r="A174" s="14" t="str">
        <x:v>M00173</x:v>
      </x:c>
      <x:c r="B174" s="14" t="str">
        <x:v>C0053</x:v>
      </x:c>
      <x:c r="C174" s="14" t="str">
        <x:v>E039</x:v>
      </x:c>
      <x:c r="D174" s="16" t="str">
        <x:v>2026-04-19 17:00:00</x:v>
      </x:c>
      <x:c r="E174" s="14" t="str">
        <x:v>We will circle back next week with a decision.</x:v>
      </x:c>
      <x:c r="F174" s="14" t="str">
        <x:v>en</x:v>
      </x:c>
      <x:c r="G174" s="14" t="n">
        <x:v>0</x:v>
      </x:c>
      <x:c r="H174" s="16" t="str">
        <x:v>2026-04-19 17:03:00</x:v>
      </x:c>
      <x:c r="I174" s="14" t="str">
        <x:v>HASH00100172</x:v>
      </x:c>
    </x:row>
    <x:row r="175">
      <x:c r="A175" s="14" t="str">
        <x:v>M00174</x:v>
      </x:c>
      <x:c r="B175" s="14" t="str">
        <x:v>C0054</x:v>
      </x:c>
      <x:c r="C175" s="14" t="str">
        <x:v>E006</x:v>
      </x:c>
      <x:c r="D175" s="16" t="str">
        <x:v>2026-04-21 21:00:00</x:v>
      </x:c>
      <x:c r="E175" s="14" t="str">
        <x:v>Can you confirm the owner and close the open action?</x:v>
      </x:c>
      <x:c r="F175" s="14" t="str">
        <x:v>en</x:v>
      </x:c>
      <x:c r="G175" s="14" t="n">
        <x:v>0</x:v>
      </x:c>
      <x:c r="H175" s="16" t="str">
        <x:v>2026-04-21 21:01:00</x:v>
      </x:c>
      <x:c r="I175" s="14" t="str">
        <x:v>HASH00100173</x:v>
      </x:c>
    </x:row>
    <x:row r="176">
      <x:c r="A176" s="14" t="str">
        <x:v>M00175</x:v>
      </x:c>
      <x:c r="B176" s="14" t="str">
        <x:v>C0055</x:v>
      </x:c>
      <x:c r="C176" s="14" t="str">
        <x:v>E013</x:v>
      </x:c>
      <x:c r="D176" s="16" t="str">
        <x:v>2026-04-24 03:00:00</x:v>
      </x:c>
      <x:c r="E176" s="14" t="str">
        <x:v>The dependency is still blocked by vendor access.</x:v>
      </x:c>
      <x:c r="F176" s="14" t="str">
        <x:v>en</x:v>
      </x:c>
      <x:c r="G176" s="14" t="n">
        <x:v>0</x:v>
      </x:c>
      <x:c r="H176" s="16" t="str">
        <x:v>2026-04-24 03:08:00</x:v>
      </x:c>
      <x:c r="I176" s="14" t="str">
        <x:v>HASH00100174</x:v>
      </x:c>
    </x:row>
    <x:row r="177">
      <x:c r="A177" s="14" t="str">
        <x:v>M00176</x:v>
      </x:c>
      <x:c r="B177" s="14" t="str">
        <x:v>C0056</x:v>
      </x:c>
      <x:c r="C177" s="14" t="str">
        <x:v>E021</x:v>
      </x:c>
      <x:c r="D177" s="16" t="str">
        <x:v>2026-04-26 07:00:00</x:v>
      </x:c>
      <x:c r="E177" s="14" t="str">
        <x:v>I completed the draft and attached it for review.</x:v>
      </x:c>
      <x:c r="F177" s="14" t="str">
        <x:v>en</x:v>
      </x:c>
      <x:c r="G177" s="14" t="n">
        <x:v>0</x:v>
      </x:c>
      <x:c r="H177" s="16" t="str">
        <x:v>2026-04-26 07:08:00</x:v>
      </x:c>
      <x:c r="I177" s="14" t="str">
        <x:v>HASH00100175</x:v>
      </x:c>
    </x:row>
    <x:row r="178">
      <x:c r="A178" s="14" t="str">
        <x:v>M00177</x:v>
      </x:c>
      <x:c r="B178" s="14" t="str">
        <x:v>C0057</x:v>
      </x:c>
      <x:c r="C178" s="14" t="str">
        <x:v>E028</x:v>
      </x:c>
      <x:c r="D178" s="16" t="str">
        <x:v>2026-04-28 08:00:00</x:v>
      </x:c>
      <x:c r="E178" s="14" t="str">
        <x:v>We need to reassign this because the current owner is on leave.</x:v>
      </x:c>
      <x:c r="F178" s="14" t="str">
        <x:v>en</x:v>
      </x:c>
      <x:c r="G178" s="14" t="n">
        <x:v>1</x:v>
      </x:c>
      <x:c r="H178" s="16" t="str">
        <x:v>2026-04-28 08:15:00</x:v>
      </x:c>
      <x:c r="I178" s="14" t="str">
        <x:v>HASH00100176</x:v>
      </x:c>
    </x:row>
    <x:row r="179">
      <x:c r="A179" s="14" t="str">
        <x:v>M00178</x:v>
      </x:c>
      <x:c r="B179" s="14" t="str">
        <x:v>C0058</x:v>
      </x:c>
      <x:c r="C179" s="14" t="str">
        <x:v>E035</x:v>
      </x:c>
      <x:c r="D179" s="16" t="str">
        <x:v>2026-04-30 11:00:00</x:v>
      </x:c>
      <x:c r="E179" s="14" t="str">
        <x:v>Please escalate if there is no response within 48 hours.</x:v>
      </x:c>
      <x:c r="F179" s="14" t="str">
        <x:v>en</x:v>
      </x:c>
      <x:c r="G179" s="14" t="n">
        <x:v>0</x:v>
      </x:c>
      <x:c r="H179" s="16" t="str">
        <x:v>2026-04-30 11:12:00</x:v>
      </x:c>
      <x:c r="I179" s="14" t="str">
        <x:v>HASH00100177</x:v>
      </x:c>
    </x:row>
    <x:row r="180">
      <x:c r="A180" s="14" t="str">
        <x:v>M00179</x:v>
      </x:c>
      <x:c r="B180" s="14" t="str">
        <x:v>C0059</x:v>
      </x:c>
      <x:c r="C180" s="14" t="str">
        <x:v>E002</x:v>
      </x:c>
      <x:c r="D180" s="16" t="str">
        <x:v>2026-05-02 18:00:00</x:v>
      </x:c>
      <x:c r="E180" s="14" t="str">
        <x:v>The customer expects an update by end of day.</x:v>
      </x:c>
      <x:c r="F180" s="14" t="str">
        <x:v>en</x:v>
      </x:c>
      <x:c r="G180" s="14" t="n">
        <x:v>0</x:v>
      </x:c>
      <x:c r="H180" s="16" t="str">
        <x:v>2026-05-02 18:08:00</x:v>
      </x:c>
      <x:c r="I180" s="14" t="str">
        <x:v>HASH00100178</x:v>
      </x:c>
    </x:row>
    <x:row r="181">
      <x:c r="A181" s="14" t="str">
        <x:v>M00180</x:v>
      </x:c>
      <x:c r="B181" s="14" t="str">
        <x:v>C0060</x:v>
      </x:c>
      <x:c r="C181" s="14" t="str">
        <x:v>E009</x:v>
      </x:c>
      <x:c r="D181" s="16" t="str">
        <x:v>2026-05-04 23:00:00</x:v>
      </x:c>
      <x:c r="E181" s="14" t="str">
        <x:v>No action is required until finance validates the forecast.</x:v>
      </x:c>
      <x:c r="F181" s="14" t="str">
        <x:v>en</x:v>
      </x:c>
      <x:c r="G181" s="14" t="n">
        <x:v>0</x:v>
      </x:c>
      <x:c r="H181" s="16" t="str">
        <x:v>2026-05-04 23:04:00</x:v>
      </x:c>
      <x:c r="I181" s="14" t="str">
        <x:v>HASH00100179</x:v>
      </x:c>
    </x:row>
  </x:sheetData>
  <x:pageMargins left="0.7" right="0.7" top="0.75" bottom="0.75" header="0.3" footer="0.3"/>
  <x:tableParts count="1">
    <x:tablePart xmlns:r="http://schemas.openxmlformats.org/officeDocument/2006/relationships" r:id="R51ee8fbfd88a40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6" hidden="0" customWidth="1"/>
    <x:col min="6" max="6" width="15" hidden="0" customWidth="1"/>
    <x:col min="7" max="7" width="15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  <x:col min="13" max="13" width="15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</x:cols>
  <x:sheetData>
    <x:row r="1" ht="28" customHeight="1">
      <x:c r="A1" s="6" t="str">
        <x:v>promise_id</x:v>
      </x:c>
      <x:c r="B1" s="6" t="str">
        <x:v>message_id</x:v>
      </x:c>
      <x:c r="C1" s="6" t="str">
        <x:v>conversation_id</x:v>
      </x:c>
      <x:c r="D1" s="6" t="str">
        <x:v>promise_text</x:v>
      </x:c>
      <x:c r="E1" s="6" t="str">
        <x:v>promise_type</x:v>
      </x:c>
      <x:c r="F1" s="6" t="str">
        <x:v>owner_employee_id</x:v>
      </x:c>
      <x:c r="G1" s="6" t="str">
        <x:v>owner_department_id</x:v>
      </x:c>
      <x:c r="H1" s="6" t="str">
        <x:v>created_ts</x:v>
      </x:c>
      <x:c r="I1" s="6" t="str">
        <x:v>due_ts</x:v>
      </x:c>
      <x:c r="J1" s="6" t="str">
        <x:v>completed_ts</x:v>
      </x:c>
      <x:c r="K1" s="6" t="str">
        <x:v>current_status</x:v>
      </x:c>
      <x:c r="L1" s="6" t="str">
        <x:v>priority</x:v>
      </x:c>
      <x:c r="M1" s="6" t="str">
        <x:v>ai_confidence_score</x:v>
      </x:c>
      <x:c r="N1" s="6" t="str">
        <x:v>risk_score</x:v>
      </x:c>
      <x:c r="O1" s="6" t="str">
        <x:v>sla_hours</x:v>
      </x:c>
      <x:c r="P1" s="6" t="str">
        <x:v>is_human_confirmed</x:v>
      </x:c>
      <x:c r="Q1" s="6" t="str">
        <x:v>duplicate_group_id</x:v>
      </x:c>
    </x:row>
    <x:row r="2">
      <x:c r="A2" s="14" t="str">
        <x:v>P00001</x:v>
      </x:c>
      <x:c r="B2" s="14" t="str">
        <x:v>M00001</x:v>
      </x:c>
      <x:c r="C2" s="14" t="str">
        <x:v>C0001</x:v>
      </x:c>
      <x:c r="D2" s="14" t="str">
        <x:v>I will send the revised analysis by Tuesday.</x:v>
      </x:c>
      <x:c r="E2" s="14" t="str">
        <x:v>Deliverable</x:v>
      </x:c>
      <x:c r="F2" s="14" t="str">
        <x:v>E004</x:v>
      </x:c>
      <x:c r="G2" s="14" t="str">
        <x:v>D004</x:v>
      </x:c>
      <x:c r="H2" s="16" t="str">
        <x:v>2026-01-05 12:00:00</x:v>
      </x:c>
      <x:c r="I2" s="16" t="str">
        <x:v>2026-01-07 12:00:00</x:v>
      </x:c>
      <x:c r="J2" s="16"/>
      <x:c r="K2" s="14" t="str">
        <x:v>Overdue</x:v>
      </x:c>
      <x:c r="L2" s="14" t="str">
        <x:v>Low</x:v>
      </x:c>
      <x:c r="M2" s="18" t="n">
        <x:v>0.721</x:v>
      </x:c>
      <x:c r="N2" s="18" t="n">
        <x:v>0.701</x:v>
      </x:c>
      <x:c r="O2" s="14" t="n">
        <x:v>48</x:v>
      </x:c>
      <x:c r="P2" s="14" t="n">
        <x:v>1</x:v>
      </x:c>
      <x:c r="Q2" s="14" t="str">
        <x:v>DG001</x:v>
      </x:c>
    </x:row>
    <x:row r="3">
      <x:c r="A3" s="14" t="str">
        <x:v>P00002</x:v>
      </x:c>
      <x:c r="B3" s="14" t="str">
        <x:v>M00012</x:v>
      </x:c>
      <x:c r="C3" s="14" t="str">
        <x:v>C0012</x:v>
      </x:c>
      <x:c r="D3" s="14" t="str">
        <x:v>No action is required until finance validates the forecast.</x:v>
      </x:c>
      <x:c r="E3" s="14" t="str">
        <x:v>Decision</x:v>
      </x:c>
      <x:c r="F3" s="14" t="str">
        <x:v>E009</x:v>
      </x:c>
      <x:c r="G3" s="14" t="str">
        <x:v>D001</x:v>
      </x:c>
      <x:c r="H3" s="16" t="str">
        <x:v>2026-01-27 23:00:00</x:v>
      </x:c>
      <x:c r="I3" s="16" t="str">
        <x:v>2026-02-06 23:00:00</x:v>
      </x:c>
      <x:c r="J3" s="16"/>
      <x:c r="K3" s="14" t="str">
        <x:v>Cancelled</x:v>
      </x:c>
      <x:c r="L3" s="14" t="str">
        <x:v>Critical</x:v>
      </x:c>
      <x:c r="M3" s="18" t="n">
        <x:v>0.93</x:v>
      </x:c>
      <x:c r="N3" s="18" t="n">
        <x:v>0.211</x:v>
      </x:c>
      <x:c r="O3" s="14" t="n">
        <x:v>72</x:v>
      </x:c>
      <x:c r="P3" s="14" t="n">
        <x:v>1</x:v>
      </x:c>
      <x:c r="Q3" s="14" t="str">
        <x:v>DG001</x:v>
      </x:c>
    </x:row>
    <x:row r="4">
      <x:c r="A4" s="14" t="str">
        <x:v>P00003</x:v>
      </x:c>
      <x:c r="B4" s="14" t="str">
        <x:v>M00023</x:v>
      </x:c>
      <x:c r="C4" s="14" t="str">
        <x:v>C0023</x:v>
      </x:c>
      <x:c r="D4" s="14" t="str">
        <x:v>The customer expects an update by end of day.</x:v>
      </x:c>
      <x:c r="E4" s="14" t="str">
        <x:v>Approval</x:v>
      </x:c>
      <x:c r="F4" s="14" t="str">
        <x:v>E014</x:v>
      </x:c>
      <x:c r="G4" s="14" t="str">
        <x:v>D006</x:v>
      </x:c>
      <x:c r="H4" s="16" t="str">
        <x:v>2026-02-19 02:00:00</x:v>
      </x:c>
      <x:c r="I4" s="16" t="str">
        <x:v>2026-03-01 02:00:00</x:v>
      </x:c>
      <x:c r="J4" s="16"/>
      <x:c r="K4" s="14" t="str">
        <x:v>Reassigned</x:v>
      </x:c>
      <x:c r="L4" s="14" t="str">
        <x:v>High</x:v>
      </x:c>
      <x:c r="M4" s="18" t="n">
        <x:v>0.86</x:v>
      </x:c>
      <x:c r="N4" s="18" t="n">
        <x:v>0.11</x:v>
      </x:c>
      <x:c r="O4" s="14" t="n">
        <x:v>72</x:v>
      </x:c>
      <x:c r="P4" s="14" t="n">
        <x:v>1</x:v>
      </x:c>
      <x:c r="Q4" s="14"/>
    </x:row>
    <x:row r="5">
      <x:c r="A5" s="14" t="str">
        <x:v>P00004</x:v>
      </x:c>
      <x:c r="B5" s="14" t="str">
        <x:v>M00034</x:v>
      </x:c>
      <x:c r="C5" s="14" t="str">
        <x:v>C0034</x:v>
      </x:c>
      <x:c r="D5" s="14" t="str">
        <x:v>Please escalate if there is no response within 48 hours.</x:v>
      </x:c>
      <x:c r="E5" s="14" t="str">
        <x:v>Follow-up</x:v>
      </x:c>
      <x:c r="F5" s="14" t="str">
        <x:v>E019</x:v>
      </x:c>
      <x:c r="G5" s="14" t="str">
        <x:v>D003</x:v>
      </x:c>
      <x:c r="H5" s="16" t="str">
        <x:v>2026-03-13 14:00:00</x:v>
      </x:c>
      <x:c r="I5" s="16" t="str">
        <x:v>2026-03-15 14:00:00</x:v>
      </x:c>
      <x:c r="J5" s="16"/>
      <x:c r="K5" s="14" t="str">
        <x:v>Reassigned</x:v>
      </x:c>
      <x:c r="L5" s="14" t="str">
        <x:v>Medium</x:v>
      </x:c>
      <x:c r="M5" s="18" t="n">
        <x:v>0.753</x:v>
      </x:c>
      <x:c r="N5" s="18" t="n">
        <x:v>0.16</x:v>
      </x:c>
      <x:c r="O5" s="14" t="n">
        <x:v>48</x:v>
      </x:c>
      <x:c r="P5" s="14" t="n">
        <x:v>0</x:v>
      </x:c>
      <x:c r="Q5" s="14"/>
    </x:row>
    <x:row r="6">
      <x:c r="A6" s="14" t="str">
        <x:v>P00005</x:v>
      </x:c>
      <x:c r="B6" s="14" t="str">
        <x:v>M00045</x:v>
      </x:c>
      <x:c r="C6" s="14" t="str">
        <x:v>C0045</x:v>
      </x:c>
      <x:c r="D6" s="14" t="str">
        <x:v>We need to reassign this because the current owner is on leave.</x:v>
      </x:c>
      <x:c r="E6" s="14" t="str">
        <x:v>Investigation</x:v>
      </x:c>
      <x:c r="F6" s="14" t="str">
        <x:v>E024</x:v>
      </x:c>
      <x:c r="G6" s="14" t="str">
        <x:v>D008</x:v>
      </x:c>
      <x:c r="H6" s="16" t="str">
        <x:v>2026-04-04 22:00:00</x:v>
      </x:c>
      <x:c r="I6" s="16" t="str">
        <x:v>2026-04-08 22:00:00</x:v>
      </x:c>
      <x:c r="J6" s="16"/>
      <x:c r="K6" s="14" t="str">
        <x:v>Overdue</x:v>
      </x:c>
      <x:c r="L6" s="14" t="str">
        <x:v>Low</x:v>
      </x:c>
      <x:c r="M6" s="18" t="n">
        <x:v>0.987</x:v>
      </x:c>
      <x:c r="N6" s="18" t="n">
        <x:v>0.607</x:v>
      </x:c>
      <x:c r="O6" s="14" t="n">
        <x:v>72</x:v>
      </x:c>
      <x:c r="P6" s="14" t="n">
        <x:v>1</x:v>
      </x:c>
      <x:c r="Q6" s="14"/>
    </x:row>
    <x:row r="7">
      <x:c r="A7" s="14" t="str">
        <x:v>P00006</x:v>
      </x:c>
      <x:c r="B7" s="14" t="str">
        <x:v>M00056</x:v>
      </x:c>
      <x:c r="C7" s="14" t="str">
        <x:v>C0056</x:v>
      </x:c>
      <x:c r="D7" s="14" t="str">
        <x:v>I completed the draft and attached it for review.</x:v>
      </x:c>
      <x:c r="E7" s="14" t="str">
        <x:v>Customer Update</x:v>
      </x:c>
      <x:c r="F7" s="14" t="str">
        <x:v>E029</x:v>
      </x:c>
      <x:c r="G7" s="14" t="str">
        <x:v>D005</x:v>
      </x:c>
      <x:c r="H7" s="16" t="str">
        <x:v>2026-04-25 20:00:00</x:v>
      </x:c>
      <x:c r="I7" s="16" t="str">
        <x:v>2026-05-05 20:00:00</x:v>
      </x:c>
      <x:c r="J7" s="16"/>
      <x:c r="K7" s="14" t="str">
        <x:v>Cancelled</x:v>
      </x:c>
      <x:c r="L7" s="14" t="str">
        <x:v>Critical</x:v>
      </x:c>
      <x:c r="M7" s="18" t="n">
        <x:v>0.885</x:v>
      </x:c>
      <x:c r="N7" s="18" t="n">
        <x:v>0.512</x:v>
      </x:c>
      <x:c r="O7" s="14" t="n">
        <x:v>120</x:v>
      </x:c>
      <x:c r="P7" s="14" t="n">
        <x:v>1</x:v>
      </x:c>
      <x:c r="Q7" s="14"/>
    </x:row>
    <x:row r="8">
      <x:c r="A8" s="14" t="str">
        <x:v>P00007</x:v>
      </x:c>
      <x:c r="B8" s="14" t="str">
        <x:v>M00067</x:v>
      </x:c>
      <x:c r="C8" s="14" t="str">
        <x:v>C0007</x:v>
      </x:c>
      <x:c r="D8" s="14" t="str">
        <x:v>The dependency is still blocked by vendor access.</x:v>
      </x:c>
      <x:c r="E8" s="14" t="str">
        <x:v>Dependency</x:v>
      </x:c>
      <x:c r="F8" s="14" t="str">
        <x:v>E034</x:v>
      </x:c>
      <x:c r="G8" s="14" t="str">
        <x:v>D002</x:v>
      </x:c>
      <x:c r="H8" s="16" t="str">
        <x:v>2026-01-18 05:00:00</x:v>
      </x:c>
      <x:c r="I8" s="16" t="str">
        <x:v>2026-01-23 05:00:00</x:v>
      </x:c>
      <x:c r="J8" s="16" t="str">
        <x:v>2026-01-24 21:00:00</x:v>
      </x:c>
      <x:c r="K8" s="14" t="str">
        <x:v>Fulfilled</x:v>
      </x:c>
      <x:c r="L8" s="14" t="str">
        <x:v>High</x:v>
      </x:c>
      <x:c r="M8" s="18" t="n">
        <x:v>0.84</x:v>
      </x:c>
      <x:c r="N8" s="18" t="n">
        <x:v>0.175</x:v>
      </x:c>
      <x:c r="O8" s="14" t="n">
        <x:v>96</x:v>
      </x:c>
      <x:c r="P8" s="14" t="n">
        <x:v>1</x:v>
      </x:c>
      <x:c r="Q8" s="14"/>
    </x:row>
    <x:row r="9">
      <x:c r="A9" s="14" t="str">
        <x:v>P00008</x:v>
      </x:c>
      <x:c r="B9" s="14" t="str">
        <x:v>M00078</x:v>
      </x:c>
      <x:c r="C9" s="14" t="str">
        <x:v>C0018</x:v>
      </x:c>
      <x:c r="D9" s="14" t="str">
        <x:v>Can you confirm the owner and close the open action?</x:v>
      </x:c>
      <x:c r="E9" s="14" t="str">
        <x:v>Deliverable</x:v>
      </x:c>
      <x:c r="F9" s="14" t="str">
        <x:v>E039</x:v>
      </x:c>
      <x:c r="G9" s="14" t="str">
        <x:v>D007</x:v>
      </x:c>
      <x:c r="H9" s="16" t="str">
        <x:v>2026-02-09 10:00:00</x:v>
      </x:c>
      <x:c r="I9" s="16" t="str">
        <x:v>2026-02-19 10:00:00</x:v>
      </x:c>
      <x:c r="J9" s="16" t="str">
        <x:v>2026-02-19 13:00:00</x:v>
      </x:c>
      <x:c r="K9" s="14" t="str">
        <x:v>Fulfilled</x:v>
      </x:c>
      <x:c r="L9" s="14" t="str">
        <x:v>Medium</x:v>
      </x:c>
      <x:c r="M9" s="18" t="n">
        <x:v>0.923</x:v>
      </x:c>
      <x:c r="N9" s="18" t="n">
        <x:v>0.584</x:v>
      </x:c>
      <x:c r="O9" s="14" t="n">
        <x:v>96</x:v>
      </x:c>
      <x:c r="P9" s="14" t="n">
        <x:v>1</x:v>
      </x:c>
      <x:c r="Q9" s="14"/>
    </x:row>
    <x:row r="10">
      <x:c r="A10" s="14" t="str">
        <x:v>P00009</x:v>
      </x:c>
      <x:c r="B10" s="14" t="str">
        <x:v>M00089</x:v>
      </x:c>
      <x:c r="C10" s="14" t="str">
        <x:v>C0029</x:v>
      </x:c>
      <x:c r="D10" s="14" t="str">
        <x:v>We will circle back next week with a decision.</x:v>
      </x:c>
      <x:c r="E10" s="14" t="str">
        <x:v>Decision</x:v>
      </x:c>
      <x:c r="F10" s="14" t="str">
        <x:v>E004</x:v>
      </x:c>
      <x:c r="G10" s="14" t="str">
        <x:v>D004</x:v>
      </x:c>
      <x:c r="H10" s="16" t="str">
        <x:v>2026-03-03 15:00:00</x:v>
      </x:c>
      <x:c r="I10" s="16" t="str">
        <x:v>2026-03-06 15:00:00</x:v>
      </x:c>
      <x:c r="J10" s="16"/>
      <x:c r="K10" s="14" t="str">
        <x:v>Overdue</x:v>
      </x:c>
      <x:c r="L10" s="14" t="str">
        <x:v>Low</x:v>
      </x:c>
      <x:c r="M10" s="18" t="n">
        <x:v>0.861</x:v>
      </x:c>
      <x:c r="N10" s="18" t="n">
        <x:v>0.626</x:v>
      </x:c>
      <x:c r="O10" s="14" t="n">
        <x:v>48</x:v>
      </x:c>
      <x:c r="P10" s="14" t="n">
        <x:v>1</x:v>
      </x:c>
      <x:c r="Q10" s="14"/>
    </x:row>
    <x:row r="11">
      <x:c r="A11" s="14" t="str">
        <x:v>P00010</x:v>
      </x:c>
      <x:c r="B11" s="14" t="str">
        <x:v>M00100</x:v>
      </x:c>
      <x:c r="C11" s="14" t="str">
        <x:v>C0040</x:v>
      </x:c>
      <x:c r="D11" s="14" t="str">
        <x:v>I will get legal approval before July 31.</x:v>
      </x:c>
      <x:c r="E11" s="14" t="str">
        <x:v>Approval</x:v>
      </x:c>
      <x:c r="F11" s="14" t="str">
        <x:v>E009</x:v>
      </x:c>
      <x:c r="G11" s="14" t="str">
        <x:v>D001</x:v>
      </x:c>
      <x:c r="H11" s="16" t="str">
        <x:v>2026-03-24 13:00:00</x:v>
      </x:c>
      <x:c r="I11" s="16" t="str">
        <x:v>2026-03-27 13:00:00</x:v>
      </x:c>
      <x:c r="J11" s="16" t="str">
        <x:v>2026-03-27 19:00:00</x:v>
      </x:c>
      <x:c r="K11" s="14" t="str">
        <x:v>Fulfilled</x:v>
      </x:c>
      <x:c r="L11" s="14" t="str">
        <x:v>Critical</x:v>
      </x:c>
      <x:c r="M11" s="18" t="n">
        <x:v>0.783</x:v>
      </x:c>
      <x:c r="N11" s="18" t="n">
        <x:v>0.282</x:v>
      </x:c>
      <x:c r="O11" s="14" t="n">
        <x:v>72</x:v>
      </x:c>
      <x:c r="P11" s="14" t="n">
        <x:v>0</x:v>
      </x:c>
      <x:c r="Q11" s="14"/>
    </x:row>
    <x:row r="12">
      <x:c r="A12" s="14" t="str">
        <x:v>P00011</x:v>
      </x:c>
      <x:c r="B12" s="14" t="str">
        <x:v>M00111</x:v>
      </x:c>
      <x:c r="C12" s="14" t="str">
        <x:v>C0051</x:v>
      </x:c>
      <x:c r="D12" s="14" t="str">
        <x:v>Let's revisit this after the 4.2 release.</x:v>
      </x:c>
      <x:c r="E12" s="14" t="str">
        <x:v>Follow-up</x:v>
      </x:c>
      <x:c r="F12" s="14" t="str">
        <x:v>E014</x:v>
      </x:c>
      <x:c r="G12" s="14" t="str">
        <x:v>D006</x:v>
      </x:c>
      <x:c r="H12" s="16" t="str">
        <x:v>2026-04-15 21:00:00</x:v>
      </x:c>
      <x:c r="I12" s="16" t="str">
        <x:v>2026-04-20 21:00:00</x:v>
      </x:c>
      <x:c r="J12" s="16" t="str">
        <x:v>2026-04-20 10:00:00</x:v>
      </x:c>
      <x:c r="K12" s="14" t="str">
        <x:v>Fulfilled</x:v>
      </x:c>
      <x:c r="L12" s="14" t="str">
        <x:v>High</x:v>
      </x:c>
      <x:c r="M12" s="18" t="n">
        <x:v>0.782</x:v>
      </x:c>
      <x:c r="N12" s="18" t="n">
        <x:v>0.496</x:v>
      </x:c>
      <x:c r="O12" s="14" t="n">
        <x:v>72</x:v>
      </x:c>
      <x:c r="P12" s="14" t="n">
        <x:v>1</x:v>
      </x:c>
      <x:c r="Q12" s="14"/>
    </x:row>
    <x:row r="13">
      <x:c r="A13" s="14" t="str">
        <x:v>P00012</x:v>
      </x:c>
      <x:c r="B13" s="14" t="str">
        <x:v>M00122</x:v>
      </x:c>
      <x:c r="C13" s="14" t="str">
        <x:v>C0002</x:v>
      </x:c>
      <x:c r="D13" s="14" t="str">
        <x:v>Engineering will complete the fix in the next sprint.</x:v>
      </x:c>
      <x:c r="E13" s="14" t="str">
        <x:v>Investigation</x:v>
      </x:c>
      <x:c r="F13" s="14" t="str">
        <x:v>E019</x:v>
      </x:c>
      <x:c r="G13" s="14" t="str">
        <x:v>D003</x:v>
      </x:c>
      <x:c r="H13" s="16" t="str">
        <x:v>2026-01-08 02:00:00</x:v>
      </x:c>
      <x:c r="I13" s="16" t="str">
        <x:v>2026-01-15 02:00:00</x:v>
      </x:c>
      <x:c r="J13" s="16" t="str">
        <x:v>2026-01-16 01:00:00</x:v>
      </x:c>
      <x:c r="K13" s="14" t="str">
        <x:v>Fulfilled</x:v>
      </x:c>
      <x:c r="L13" s="14" t="str">
        <x:v>Medium</x:v>
      </x:c>
      <x:c r="M13" s="18" t="n">
        <x:v>0.83</x:v>
      </x:c>
      <x:c r="N13" s="18" t="n">
        <x:v>0.406</x:v>
      </x:c>
      <x:c r="O13" s="14" t="n">
        <x:v>48</x:v>
      </x:c>
      <x:c r="P13" s="14" t="n">
        <x:v>1</x:v>
      </x:c>
      <x:c r="Q13" s="14"/>
    </x:row>
    <x:row r="14">
      <x:c r="A14" s="14" t="str">
        <x:v>P00013</x:v>
      </x:c>
      <x:c r="B14" s="14" t="str">
        <x:v>M00133</x:v>
      </x:c>
      <x:c r="C14" s="14" t="str">
        <x:v>C0013</x:v>
      </x:c>
      <x:c r="D14" s="14" t="str">
        <x:v>I will send the revised analysis by Friday.</x:v>
      </x:c>
      <x:c r="E14" s="14" t="str">
        <x:v>Customer Update</x:v>
      </x:c>
      <x:c r="F14" s="14" t="str">
        <x:v>E024</x:v>
      </x:c>
      <x:c r="G14" s="14" t="str">
        <x:v>D008</x:v>
      </x:c>
      <x:c r="H14" s="16" t="str">
        <x:v>2026-01-30 16:00:00</x:v>
      </x:c>
      <x:c r="I14" s="16" t="str">
        <x:v>2026-02-03 16:00:00</x:v>
      </x:c>
      <x:c r="J14" s="16" t="str">
        <x:v>2026-02-04 15:00:00</x:v>
      </x:c>
      <x:c r="K14" s="14" t="str">
        <x:v>Fulfilled</x:v>
      </x:c>
      <x:c r="L14" s="14" t="str">
        <x:v>Low</x:v>
      </x:c>
      <x:c r="M14" s="18" t="n">
        <x:v>0.825</x:v>
      </x:c>
      <x:c r="N14" s="18" t="n">
        <x:v>0.542</x:v>
      </x:c>
      <x:c r="O14" s="14" t="n">
        <x:v>72</x:v>
      </x:c>
      <x:c r="P14" s="14" t="n">
        <x:v>1</x:v>
      </x:c>
      <x:c r="Q14" s="14"/>
    </x:row>
    <x:row r="15">
      <x:c r="A15" s="14" t="str">
        <x:v>P00014</x:v>
      </x:c>
      <x:c r="B15" s="14" t="str">
        <x:v>M00144</x:v>
      </x:c>
      <x:c r="C15" s="14" t="str">
        <x:v>C0024</x:v>
      </x:c>
      <x:c r="D15" s="14" t="str">
        <x:v>No action is required until finance validates the forecast.</x:v>
      </x:c>
      <x:c r="E15" s="14" t="str">
        <x:v>Dependency</x:v>
      </x:c>
      <x:c r="F15" s="14" t="str">
        <x:v>E029</x:v>
      </x:c>
      <x:c r="G15" s="14" t="str">
        <x:v>D005</x:v>
      </x:c>
      <x:c r="H15" s="16" t="str">
        <x:v>2026-02-21 19:00:00</x:v>
      </x:c>
      <x:c r="I15" s="16" t="str">
        <x:v>2026-02-28 19:00:00</x:v>
      </x:c>
      <x:c r="J15" s="16" t="str">
        <x:v>2026-03-02 14:00:00</x:v>
      </x:c>
      <x:c r="K15" s="14" t="str">
        <x:v>Fulfilled</x:v>
      </x:c>
      <x:c r="L15" s="14" t="str">
        <x:v>Critical</x:v>
      </x:c>
      <x:c r="M15" s="18" t="n">
        <x:v>0.823</x:v>
      </x:c>
      <x:c r="N15" s="18" t="n">
        <x:v>0.084</x:v>
      </x:c>
      <x:c r="O15" s="14" t="n">
        <x:v>120</x:v>
      </x:c>
      <x:c r="P15" s="14" t="n">
        <x:v>1</x:v>
      </x:c>
      <x:c r="Q15" s="14"/>
    </x:row>
    <x:row r="16">
      <x:c r="A16" s="14" t="str">
        <x:v>P00015</x:v>
      </x:c>
      <x:c r="B16" s="14" t="str">
        <x:v>M00155</x:v>
      </x:c>
      <x:c r="C16" s="14" t="str">
        <x:v>C0035</x:v>
      </x:c>
      <x:c r="D16" s="14" t="str">
        <x:v>The customer expects an update by end of day.</x:v>
      </x:c>
      <x:c r="E16" s="14" t="str">
        <x:v>Deliverable</x:v>
      </x:c>
      <x:c r="F16" s="14" t="str">
        <x:v>E034</x:v>
      </x:c>
      <x:c r="G16" s="14" t="str">
        <x:v>D002</x:v>
      </x:c>
      <x:c r="H16" s="16" t="str">
        <x:v>2026-03-14 21:00:00</x:v>
      </x:c>
      <x:c r="I16" s="16" t="str">
        <x:v>2026-03-17 21:00:00</x:v>
      </x:c>
      <x:c r="J16" s="16" t="str">
        <x:v>2026-03-18 16:00:00</x:v>
      </x:c>
      <x:c r="K16" s="14" t="str">
        <x:v>Fulfilled</x:v>
      </x:c>
      <x:c r="L16" s="14" t="str">
        <x:v>High</x:v>
      </x:c>
      <x:c r="M16" s="18" t="n">
        <x:v>0.95</x:v>
      </x:c>
      <x:c r="N16" s="18" t="n">
        <x:v>0.652</x:v>
      </x:c>
      <x:c r="O16" s="14" t="n">
        <x:v>96</x:v>
      </x:c>
      <x:c r="P16" s="14" t="n">
        <x:v>1</x:v>
      </x:c>
      <x:c r="Q16" s="14"/>
    </x:row>
    <x:row r="17">
      <x:c r="A17" s="14" t="str">
        <x:v>P00016</x:v>
      </x:c>
      <x:c r="B17" s="14" t="str">
        <x:v>M00166</x:v>
      </x:c>
      <x:c r="C17" s="14" t="str">
        <x:v>C0046</x:v>
      </x:c>
      <x:c r="D17" s="14" t="str">
        <x:v>Please escalate if there is no response within 48 hours.</x:v>
      </x:c>
      <x:c r="E17" s="14" t="str">
        <x:v>Decision</x:v>
      </x:c>
      <x:c r="F17" s="14" t="str">
        <x:v>E039</x:v>
      </x:c>
      <x:c r="G17" s="14" t="str">
        <x:v>D007</x:v>
      </x:c>
      <x:c r="H17" s="16" t="str">
        <x:v>2026-04-06 01:00:00</x:v>
      </x:c>
      <x:c r="I17" s="16" t="str">
        <x:v>2026-04-10 01:00:00</x:v>
      </x:c>
      <x:c r="J17" s="16" t="str">
        <x:v>2026-04-11 16:00:00</x:v>
      </x:c>
      <x:c r="K17" s="14" t="str">
        <x:v>Fulfilled</x:v>
      </x:c>
      <x:c r="L17" s="14" t="str">
        <x:v>Medium</x:v>
      </x:c>
      <x:c r="M17" s="18" t="n">
        <x:v>0.936</x:v>
      </x:c>
      <x:c r="N17" s="18" t="n">
        <x:v>0.619</x:v>
      </x:c>
      <x:c r="O17" s="14" t="n">
        <x:v>96</x:v>
      </x:c>
      <x:c r="P17" s="14" t="n">
        <x:v>1</x:v>
      </x:c>
      <x:c r="Q17" s="14"/>
    </x:row>
    <x:row r="18">
      <x:c r="A18" s="14" t="str">
        <x:v>P00017</x:v>
      </x:c>
      <x:c r="B18" s="14" t="str">
        <x:v>M00177</x:v>
      </x:c>
      <x:c r="C18" s="14" t="str">
        <x:v>C0057</x:v>
      </x:c>
      <x:c r="D18" s="14" t="str">
        <x:v>We need to reassign this because the current owner is on leave.</x:v>
      </x:c>
      <x:c r="E18" s="14" t="str">
        <x:v>Approval</x:v>
      </x:c>
      <x:c r="F18" s="14" t="str">
        <x:v>E004</x:v>
      </x:c>
      <x:c r="G18" s="14" t="str">
        <x:v>D004</x:v>
      </x:c>
      <x:c r="H18" s="16" t="str">
        <x:v>2026-04-28 08:00:00</x:v>
      </x:c>
      <x:c r="I18" s="16" t="str">
        <x:v>2026-05-02 08:00:00</x:v>
      </x:c>
      <x:c r="J18" s="16" t="str">
        <x:v>2026-05-03 09:00:00</x:v>
      </x:c>
      <x:c r="K18" s="14" t="str">
        <x:v>Fulfilled</x:v>
      </x:c>
      <x:c r="L18" s="14" t="str">
        <x:v>Low</x:v>
      </x:c>
      <x:c r="M18" s="18" t="n">
        <x:v>0.851</x:v>
      </x:c>
      <x:c r="N18" s="18" t="n">
        <x:v>0.313</x:v>
      </x:c>
      <x:c r="O18" s="14" t="n">
        <x:v>48</x:v>
      </x:c>
      <x:c r="P18" s="14" t="n">
        <x:v>1</x:v>
      </x:c>
      <x:c r="Q18" s="14"/>
    </x:row>
    <x:row r="19">
      <x:c r="A19" s="14" t="str">
        <x:v>P00018</x:v>
      </x:c>
      <x:c r="B19" s="14" t="str">
        <x:v>M00008</x:v>
      </x:c>
      <x:c r="C19" s="14" t="str">
        <x:v>C0008</x:v>
      </x:c>
      <x:c r="D19" s="14" t="str">
        <x:v>I completed the draft and attached it for review.</x:v>
      </x:c>
      <x:c r="E19" s="14" t="str">
        <x:v>Follow-up</x:v>
      </x:c>
      <x:c r="F19" s="14" t="str">
        <x:v>E009</x:v>
      </x:c>
      <x:c r="G19" s="14" t="str">
        <x:v>D001</x:v>
      </x:c>
      <x:c r="H19" s="16" t="str">
        <x:v>2026-01-20 13:00:00</x:v>
      </x:c>
      <x:c r="I19" s="16" t="str">
        <x:v>2026-01-27 13:00:00</x:v>
      </x:c>
      <x:c r="J19" s="16"/>
      <x:c r="K19" s="14" t="str">
        <x:v>Overdue</x:v>
      </x:c>
      <x:c r="L19" s="14" t="str">
        <x:v>Critical</x:v>
      </x:c>
      <x:c r="M19" s="18" t="n">
        <x:v>0.829</x:v>
      </x:c>
      <x:c r="N19" s="18" t="n">
        <x:v>0.349</x:v>
      </x:c>
      <x:c r="O19" s="14" t="n">
        <x:v>72</x:v>
      </x:c>
      <x:c r="P19" s="14" t="n">
        <x:v>1</x:v>
      </x:c>
      <x:c r="Q19" s="14"/>
    </x:row>
    <x:row r="20">
      <x:c r="A20" s="14" t="str">
        <x:v>P00019</x:v>
      </x:c>
      <x:c r="B20" s="14" t="str">
        <x:v>M00019</x:v>
      </x:c>
      <x:c r="C20" s="14" t="str">
        <x:v>C0019</x:v>
      </x:c>
      <x:c r="D20" s="14" t="str">
        <x:v>The dependency is still blocked by vendor access.</x:v>
      </x:c>
      <x:c r="E20" s="14" t="str">
        <x:v>Investigation</x:v>
      </x:c>
      <x:c r="F20" s="14" t="str">
        <x:v>E014</x:v>
      </x:c>
      <x:c r="G20" s="14" t="str">
        <x:v>D006</x:v>
      </x:c>
      <x:c r="H20" s="16" t="str">
        <x:v>2026-02-10 13:00:00</x:v>
      </x:c>
      <x:c r="I20" s="16" t="str">
        <x:v>2026-02-14 13:00:00</x:v>
      </x:c>
      <x:c r="J20" s="16"/>
      <x:c r="K20" s="14" t="str">
        <x:v>Reassigned</x:v>
      </x:c>
      <x:c r="L20" s="14" t="str">
        <x:v>High</x:v>
      </x:c>
      <x:c r="M20" s="18" t="n">
        <x:v>0.985</x:v>
      </x:c>
      <x:c r="N20" s="18" t="n">
        <x:v>0.4</x:v>
      </x:c>
      <x:c r="O20" s="14" t="n">
        <x:v>72</x:v>
      </x:c>
      <x:c r="P20" s="14" t="n">
        <x:v>1</x:v>
      </x:c>
      <x:c r="Q20" s="14"/>
    </x:row>
    <x:row r="21">
      <x:c r="A21" s="14" t="str">
        <x:v>P00020</x:v>
      </x:c>
      <x:c r="B21" s="14" t="str">
        <x:v>M00030</x:v>
      </x:c>
      <x:c r="C21" s="14" t="str">
        <x:v>C0030</x:v>
      </x:c>
      <x:c r="D21" s="14" t="str">
        <x:v>Can you confirm the owner and close the open action?</x:v>
      </x:c>
      <x:c r="E21" s="14" t="str">
        <x:v>Customer Update</x:v>
      </x:c>
      <x:c r="F21" s="14" t="str">
        <x:v>E019</x:v>
      </x:c>
      <x:c r="G21" s="14" t="str">
        <x:v>D003</x:v>
      </x:c>
      <x:c r="H21" s="16" t="str">
        <x:v>2026-03-04 21:00:00</x:v>
      </x:c>
      <x:c r="I21" s="16" t="str">
        <x:v>2026-03-08 21:00:00</x:v>
      </x:c>
      <x:c r="J21" s="16"/>
      <x:c r="K21" s="14" t="str">
        <x:v>Overdue</x:v>
      </x:c>
      <x:c r="L21" s="14" t="str">
        <x:v>Medium</x:v>
      </x:c>
      <x:c r="M21" s="18" t="n">
        <x:v>0.899</x:v>
      </x:c>
      <x:c r="N21" s="18" t="n">
        <x:v>0.3</x:v>
      </x:c>
      <x:c r="O21" s="14" t="n">
        <x:v>48</x:v>
      </x:c>
      <x:c r="P21" s="14" t="n">
        <x:v>1</x:v>
      </x:c>
      <x:c r="Q21" s="14"/>
    </x:row>
    <x:row r="22">
      <x:c r="A22" s="14" t="str">
        <x:v>P00021</x:v>
      </x:c>
      <x:c r="B22" s="14" t="str">
        <x:v>M00041</x:v>
      </x:c>
      <x:c r="C22" s="14" t="str">
        <x:v>C0041</x:v>
      </x:c>
      <x:c r="D22" s="14" t="str">
        <x:v>We will circle back next week with a decision.</x:v>
      </x:c>
      <x:c r="E22" s="14" t="str">
        <x:v>Dependency</x:v>
      </x:c>
      <x:c r="F22" s="14" t="str">
        <x:v>E024</x:v>
      </x:c>
      <x:c r="G22" s="14" t="str">
        <x:v>D008</x:v>
      </x:c>
      <x:c r="H22" s="16" t="str">
        <x:v>2026-03-27 09:00:00</x:v>
      </x:c>
      <x:c r="I22" s="16" t="str">
        <x:v>2026-03-31 09:00:00</x:v>
      </x:c>
      <x:c r="J22" s="16" t="str">
        <x:v>2026-04-01 14:00:00</x:v>
      </x:c>
      <x:c r="K22" s="14" t="str">
        <x:v>Fulfilled</x:v>
      </x:c>
      <x:c r="L22" s="14" t="str">
        <x:v>Low</x:v>
      </x:c>
      <x:c r="M22" s="18" t="n">
        <x:v>0.769</x:v>
      </x:c>
      <x:c r="N22" s="18" t="n">
        <x:v>0.236</x:v>
      </x:c>
      <x:c r="O22" s="14" t="n">
        <x:v>72</x:v>
      </x:c>
      <x:c r="P22" s="14" t="n">
        <x:v>1</x:v>
      </x:c>
      <x:c r="Q22" s="14"/>
    </x:row>
    <x:row r="23">
      <x:c r="A23" s="14" t="str">
        <x:v>P00022</x:v>
      </x:c>
      <x:c r="B23" s="14" t="str">
        <x:v>M00052</x:v>
      </x:c>
      <x:c r="C23" s="14" t="str">
        <x:v>C0052</x:v>
      </x:c>
      <x:c r="D23" s="14" t="str">
        <x:v>I will get legal approval before Wednesday.</x:v>
      </x:c>
      <x:c r="E23" s="14" t="str">
        <x:v>Deliverable</x:v>
      </x:c>
      <x:c r="F23" s="14" t="str">
        <x:v>E029</x:v>
      </x:c>
      <x:c r="G23" s="14" t="str">
        <x:v>D005</x:v>
      </x:c>
      <x:c r="H23" s="16" t="str">
        <x:v>2026-04-18 12:00:00</x:v>
      </x:c>
      <x:c r="I23" s="16" t="str">
        <x:v>2026-04-21 12:00:00</x:v>
      </x:c>
      <x:c r="J23" s="16" t="str">
        <x:v>2026-04-21 23:00:00</x:v>
      </x:c>
      <x:c r="K23" s="14" t="str">
        <x:v>Fulfilled</x:v>
      </x:c>
      <x:c r="L23" s="14" t="str">
        <x:v>Critical</x:v>
      </x:c>
      <x:c r="M23" s="18" t="n">
        <x:v>0.811</x:v>
      </x:c>
      <x:c r="N23" s="18" t="n">
        <x:v>0.608</x:v>
      </x:c>
      <x:c r="O23" s="14" t="n">
        <x:v>120</x:v>
      </x:c>
      <x:c r="P23" s="14" t="n">
        <x:v>0</x:v>
      </x:c>
      <x:c r="Q23" s="14"/>
    </x:row>
    <x:row r="24">
      <x:c r="A24" s="14" t="str">
        <x:v>P00023</x:v>
      </x:c>
      <x:c r="B24" s="14" t="str">
        <x:v>M00063</x:v>
      </x:c>
      <x:c r="C24" s="14" t="str">
        <x:v>C0003</x:v>
      </x:c>
      <x:c r="D24" s="14" t="str">
        <x:v>Let's revisit this after the security release.</x:v>
      </x:c>
      <x:c r="E24" s="14" t="str">
        <x:v>Decision</x:v>
      </x:c>
      <x:c r="F24" s="14" t="str">
        <x:v>E034</x:v>
      </x:c>
      <x:c r="G24" s="14" t="str">
        <x:v>D002</x:v>
      </x:c>
      <x:c r="H24" s="16" t="str">
        <x:v>2026-01-10 21:00:00</x:v>
      </x:c>
      <x:c r="I24" s="16" t="str">
        <x:v>2026-01-13 21:00:00</x:v>
      </x:c>
      <x:c r="J24" s="16"/>
      <x:c r="K24" s="14" t="str">
        <x:v>Overdue</x:v>
      </x:c>
      <x:c r="L24" s="14" t="str">
        <x:v>High</x:v>
      </x:c>
      <x:c r="M24" s="18" t="n">
        <x:v>0.945</x:v>
      </x:c>
      <x:c r="N24" s="18" t="n">
        <x:v>0.401</x:v>
      </x:c>
      <x:c r="O24" s="14" t="n">
        <x:v>96</x:v>
      </x:c>
      <x:c r="P24" s="14" t="n">
        <x:v>1</x:v>
      </x:c>
      <x:c r="Q24" s="14"/>
    </x:row>
    <x:row r="25">
      <x:c r="A25" s="14" t="str">
        <x:v>P00024</x:v>
      </x:c>
      <x:c r="B25" s="14" t="str">
        <x:v>M00074</x:v>
      </x:c>
      <x:c r="C25" s="14" t="str">
        <x:v>C0014</x:v>
      </x:c>
      <x:c r="D25" s="14" t="str">
        <x:v>Engineering will complete the fix in the next sprint.</x:v>
      </x:c>
      <x:c r="E25" s="14" t="str">
        <x:v>Approval</x:v>
      </x:c>
      <x:c r="F25" s="14" t="str">
        <x:v>E039</x:v>
      </x:c>
      <x:c r="G25" s="14" t="str">
        <x:v>D007</x:v>
      </x:c>
      <x:c r="H25" s="16" t="str">
        <x:v>2026-01-31 19:00:00</x:v>
      </x:c>
      <x:c r="I25" s="16" t="str">
        <x:v>2026-02-01 19:00:00</x:v>
      </x:c>
      <x:c r="J25" s="16" t="str">
        <x:v>2026-02-03 10:00:00</x:v>
      </x:c>
      <x:c r="K25" s="14" t="str">
        <x:v>Fulfilled</x:v>
      </x:c>
      <x:c r="L25" s="14" t="str">
        <x:v>Medium</x:v>
      </x:c>
      <x:c r="M25" s="18" t="n">
        <x:v>0.734</x:v>
      </x:c>
      <x:c r="N25" s="18" t="n">
        <x:v>0.651</x:v>
      </x:c>
      <x:c r="O25" s="14" t="n">
        <x:v>96</x:v>
      </x:c>
      <x:c r="P25" s="14" t="n">
        <x:v>0</x:v>
      </x:c>
      <x:c r="Q25" s="14"/>
    </x:row>
    <x:row r="26">
      <x:c r="A26" s="14" t="str">
        <x:v>P00025</x:v>
      </x:c>
      <x:c r="B26" s="14" t="str">
        <x:v>M00085</x:v>
      </x:c>
      <x:c r="C26" s="14" t="str">
        <x:v>C0025</x:v>
      </x:c>
      <x:c r="D26" s="14" t="str">
        <x:v>I will send the revised analysis by July 31.</x:v>
      </x:c>
      <x:c r="E26" s="14" t="str">
        <x:v>Follow-up</x:v>
      </x:c>
      <x:c r="F26" s="14" t="str">
        <x:v>E004</x:v>
      </x:c>
      <x:c r="G26" s="14" t="str">
        <x:v>D004</x:v>
      </x:c>
      <x:c r="H26" s="16" t="str">
        <x:v>2026-02-23 01:00:00</x:v>
      </x:c>
      <x:c r="I26" s="16" t="str">
        <x:v>2026-02-25 01:00:00</x:v>
      </x:c>
      <x:c r="J26" s="16"/>
      <x:c r="K26" s="14" t="str">
        <x:v>Overdue</x:v>
      </x:c>
      <x:c r="L26" s="14" t="str">
        <x:v>Low</x:v>
      </x:c>
      <x:c r="M26" s="18" t="n">
        <x:v>0.931</x:v>
      </x:c>
      <x:c r="N26" s="18" t="n">
        <x:v>0.641</x:v>
      </x:c>
      <x:c r="O26" s="14" t="n">
        <x:v>48</x:v>
      </x:c>
      <x:c r="P26" s="14" t="n">
        <x:v>1</x:v>
      </x:c>
      <x:c r="Q26" s="14"/>
    </x:row>
    <x:row r="27">
      <x:c r="A27" s="14" t="str">
        <x:v>P00026</x:v>
      </x:c>
      <x:c r="B27" s="14" t="str">
        <x:v>M00096</x:v>
      </x:c>
      <x:c r="C27" s="14" t="str">
        <x:v>C0036</x:v>
      </x:c>
      <x:c r="D27" s="14" t="str">
        <x:v>No action is required until finance validates the forecast.</x:v>
      </x:c>
      <x:c r="E27" s="14" t="str">
        <x:v>Investigation</x:v>
      </x:c>
      <x:c r="F27" s="14" t="str">
        <x:v>E009</x:v>
      </x:c>
      <x:c r="G27" s="14" t="str">
        <x:v>D001</x:v>
      </x:c>
      <x:c r="H27" s="16" t="str">
        <x:v>2026-03-17 07:00:00</x:v>
      </x:c>
      <x:c r="I27" s="16" t="str">
        <x:v>2026-03-27 07:00:00</x:v>
      </x:c>
      <x:c r="J27" s="16" t="str">
        <x:v>2026-03-27 08:00:00</x:v>
      </x:c>
      <x:c r="K27" s="14" t="str">
        <x:v>Fulfilled</x:v>
      </x:c>
      <x:c r="L27" s="14" t="str">
        <x:v>Critical</x:v>
      </x:c>
      <x:c r="M27" s="18" t="n">
        <x:v>0.774</x:v>
      </x:c>
      <x:c r="N27" s="18" t="n">
        <x:v>0.092</x:v>
      </x:c>
      <x:c r="O27" s="14" t="n">
        <x:v>72</x:v>
      </x:c>
      <x:c r="P27" s="14" t="n">
        <x:v>1</x:v>
      </x:c>
      <x:c r="Q27" s="14" t="str">
        <x:v>DG002</x:v>
      </x:c>
    </x:row>
    <x:row r="28">
      <x:c r="A28" s="14" t="str">
        <x:v>P00027</x:v>
      </x:c>
      <x:c r="B28" s="14" t="str">
        <x:v>M00107</x:v>
      </x:c>
      <x:c r="C28" s="14" t="str">
        <x:v>C0047</x:v>
      </x:c>
      <x:c r="D28" s="14" t="str">
        <x:v>The customer expects an update by end of day.</x:v>
      </x:c>
      <x:c r="E28" s="14" t="str">
        <x:v>Customer Update</x:v>
      </x:c>
      <x:c r="F28" s="14" t="str">
        <x:v>E014</x:v>
      </x:c>
      <x:c r="G28" s="14" t="str">
        <x:v>D006</x:v>
      </x:c>
      <x:c r="H28" s="16" t="str">
        <x:v>2026-04-08 17:00:00</x:v>
      </x:c>
      <x:c r="I28" s="16" t="str">
        <x:v>2026-04-10 17:00:00</x:v>
      </x:c>
      <x:c r="J28" s="16" t="str">
        <x:v>2026-04-11 23:00:00</x:v>
      </x:c>
      <x:c r="K28" s="14" t="str">
        <x:v>Fulfilled</x:v>
      </x:c>
      <x:c r="L28" s="14" t="str">
        <x:v>High</x:v>
      </x:c>
      <x:c r="M28" s="18" t="n">
        <x:v>0.901</x:v>
      </x:c>
      <x:c r="N28" s="18" t="n">
        <x:v>0.418</x:v>
      </x:c>
      <x:c r="O28" s="14" t="n">
        <x:v>72</x:v>
      </x:c>
      <x:c r="P28" s="14" t="n">
        <x:v>1</x:v>
      </x:c>
      <x:c r="Q28" s="14" t="str">
        <x:v>DG002</x:v>
      </x:c>
    </x:row>
    <x:row r="29">
      <x:c r="A29" s="14" t="str">
        <x:v>P00028</x:v>
      </x:c>
      <x:c r="B29" s="14" t="str">
        <x:v>M00118</x:v>
      </x:c>
      <x:c r="C29" s="14" t="str">
        <x:v>C0058</x:v>
      </x:c>
      <x:c r="D29" s="14" t="str">
        <x:v>Please escalate if there is no response within 48 hours.</x:v>
      </x:c>
      <x:c r="E29" s="14" t="str">
        <x:v>Dependency</x:v>
      </x:c>
      <x:c r="F29" s="14" t="str">
        <x:v>E019</x:v>
      </x:c>
      <x:c r="G29" s="14" t="str">
        <x:v>D003</x:v>
      </x:c>
      <x:c r="H29" s="16" t="str">
        <x:v>2026-04-29 12:00:00</x:v>
      </x:c>
      <x:c r="I29" s="16" t="str">
        <x:v>2026-05-01 12:00:00</x:v>
      </x:c>
      <x:c r="J29" s="16" t="str">
        <x:v>2026-05-01 14:00:00</x:v>
      </x:c>
      <x:c r="K29" s="14" t="str">
        <x:v>Fulfilled</x:v>
      </x:c>
      <x:c r="L29" s="14" t="str">
        <x:v>Medium</x:v>
      </x:c>
      <x:c r="M29" s="18" t="n">
        <x:v>0.927</x:v>
      </x:c>
      <x:c r="N29" s="18" t="n">
        <x:v>0.181</x:v>
      </x:c>
      <x:c r="O29" s="14" t="n">
        <x:v>48</x:v>
      </x:c>
      <x:c r="P29" s="14" t="n">
        <x:v>1</x:v>
      </x:c>
      <x:c r="Q29" s="14"/>
    </x:row>
    <x:row r="30">
      <x:c r="A30" s="14" t="str">
        <x:v>P00029</x:v>
      </x:c>
      <x:c r="B30" s="14" t="str">
        <x:v>M00129</x:v>
      </x:c>
      <x:c r="C30" s="14" t="str">
        <x:v>C0009</x:v>
      </x:c>
      <x:c r="D30" s="14" t="str">
        <x:v>We need to reassign this because the current owner is on leave.</x:v>
      </x:c>
      <x:c r="E30" s="14" t="str">
        <x:v>Deliverable</x:v>
      </x:c>
      <x:c r="F30" s="14" t="str">
        <x:v>E024</x:v>
      </x:c>
      <x:c r="G30" s="14" t="str">
        <x:v>D008</x:v>
      </x:c>
      <x:c r="H30" s="16" t="str">
        <x:v>2026-01-21 18:00:00</x:v>
      </x:c>
      <x:c r="I30" s="16" t="str">
        <x:v>2026-01-26 18:00:00</x:v>
      </x:c>
      <x:c r="J30" s="16"/>
      <x:c r="K30" s="14" t="str">
        <x:v>Reassigned</x:v>
      </x:c>
      <x:c r="L30" s="14" t="str">
        <x:v>Low</x:v>
      </x:c>
      <x:c r="M30" s="18" t="n">
        <x:v>0.914</x:v>
      </x:c>
      <x:c r="N30" s="18" t="n">
        <x:v>0.547</x:v>
      </x:c>
      <x:c r="O30" s="14" t="n">
        <x:v>72</x:v>
      </x:c>
      <x:c r="P30" s="14" t="n">
        <x:v>1</x:v>
      </x:c>
      <x:c r="Q30" s="14"/>
    </x:row>
    <x:row r="31">
      <x:c r="A31" s="14" t="str">
        <x:v>P00030</x:v>
      </x:c>
      <x:c r="B31" s="14" t="str">
        <x:v>M00140</x:v>
      </x:c>
      <x:c r="C31" s="14" t="str">
        <x:v>C0020</x:v>
      </x:c>
      <x:c r="D31" s="14" t="str">
        <x:v>I completed the draft and attached it for review.</x:v>
      </x:c>
      <x:c r="E31" s="14" t="str">
        <x:v>Decision</x:v>
      </x:c>
      <x:c r="F31" s="14" t="str">
        <x:v>E029</x:v>
      </x:c>
      <x:c r="G31" s="14" t="str">
        <x:v>D005</x:v>
      </x:c>
      <x:c r="H31" s="16" t="str">
        <x:v>2026-02-13 09:00:00</x:v>
      </x:c>
      <x:c r="I31" s="16" t="str">
        <x:v>2026-02-15 09:00:00</x:v>
      </x:c>
      <x:c r="J31" s="16"/>
      <x:c r="K31" s="14" t="str">
        <x:v>Reassigned</x:v>
      </x:c>
      <x:c r="L31" s="14" t="str">
        <x:v>Critical</x:v>
      </x:c>
      <x:c r="M31" s="18" t="n">
        <x:v>0.749</x:v>
      </x:c>
      <x:c r="N31" s="18" t="n">
        <x:v>0.095</x:v>
      </x:c>
      <x:c r="O31" s="14" t="n">
        <x:v>120</x:v>
      </x:c>
      <x:c r="P31" s="14" t="n">
        <x:v>0</x:v>
      </x:c>
      <x:c r="Q31" s="14"/>
    </x:row>
    <x:row r="32">
      <x:c r="A32" s="14" t="str">
        <x:v>P00031</x:v>
      </x:c>
      <x:c r="B32" s="14" t="str">
        <x:v>M00151</x:v>
      </x:c>
      <x:c r="C32" s="14" t="str">
        <x:v>C0031</x:v>
      </x:c>
      <x:c r="D32" s="14" t="str">
        <x:v>The dependency is still blocked by vendor access.</x:v>
      </x:c>
      <x:c r="E32" s="14" t="str">
        <x:v>Approval</x:v>
      </x:c>
      <x:c r="F32" s="14" t="str">
        <x:v>E034</x:v>
      </x:c>
      <x:c r="G32" s="14" t="str">
        <x:v>D002</x:v>
      </x:c>
      <x:c r="H32" s="16" t="str">
        <x:v>2026-03-07 13:00:00</x:v>
      </x:c>
      <x:c r="I32" s="16" t="str">
        <x:v>2026-03-10 13:00:00</x:v>
      </x:c>
      <x:c r="J32" s="16" t="str">
        <x:v>2026-03-11 07:00:00</x:v>
      </x:c>
      <x:c r="K32" s="14" t="str">
        <x:v>Fulfilled</x:v>
      </x:c>
      <x:c r="L32" s="14" t="str">
        <x:v>High</x:v>
      </x:c>
      <x:c r="M32" s="18" t="n">
        <x:v>0.827</x:v>
      </x:c>
      <x:c r="N32" s="18" t="n">
        <x:v>0.509</x:v>
      </x:c>
      <x:c r="O32" s="14" t="n">
        <x:v>96</x:v>
      </x:c>
      <x:c r="P32" s="14" t="n">
        <x:v>1</x:v>
      </x:c>
      <x:c r="Q32" s="14"/>
    </x:row>
    <x:row r="33">
      <x:c r="A33" s="14" t="str">
        <x:v>P00032</x:v>
      </x:c>
      <x:c r="B33" s="14" t="str">
        <x:v>M00162</x:v>
      </x:c>
      <x:c r="C33" s="14" t="str">
        <x:v>C0042</x:v>
      </x:c>
      <x:c r="D33" s="14" t="str">
        <x:v>Can you confirm the owner and close the open action?</x:v>
      </x:c>
      <x:c r="E33" s="14" t="str">
        <x:v>Follow-up</x:v>
      </x:c>
      <x:c r="F33" s="14" t="str">
        <x:v>E039</x:v>
      </x:c>
      <x:c r="G33" s="14" t="str">
        <x:v>D007</x:v>
      </x:c>
      <x:c r="H33" s="16" t="str">
        <x:v>2026-03-30 01:00:00</x:v>
      </x:c>
      <x:c r="I33" s="16" t="str">
        <x:v>2026-03-31 01:00:00</x:v>
      </x:c>
      <x:c r="J33" s="16"/>
      <x:c r="K33" s="14" t="str">
        <x:v>Overdue</x:v>
      </x:c>
      <x:c r="L33" s="14" t="str">
        <x:v>Medium</x:v>
      </x:c>
      <x:c r="M33" s="18" t="n">
        <x:v>0.944</x:v>
      </x:c>
      <x:c r="N33" s="18" t="n">
        <x:v>0.396</x:v>
      </x:c>
      <x:c r="O33" s="14" t="n">
        <x:v>96</x:v>
      </x:c>
      <x:c r="P33" s="14" t="n">
        <x:v>1</x:v>
      </x:c>
      <x:c r="Q33" s="14"/>
    </x:row>
    <x:row r="34">
      <x:c r="A34" s="14" t="str">
        <x:v>P00033</x:v>
      </x:c>
      <x:c r="B34" s="14" t="str">
        <x:v>M00173</x:v>
      </x:c>
      <x:c r="C34" s="14" t="str">
        <x:v>C0053</x:v>
      </x:c>
      <x:c r="D34" s="14" t="str">
        <x:v>We will circle back next week with a decision.</x:v>
      </x:c>
      <x:c r="E34" s="14" t="str">
        <x:v>Investigation</x:v>
      </x:c>
      <x:c r="F34" s="14" t="str">
        <x:v>E004</x:v>
      </x:c>
      <x:c r="G34" s="14" t="str">
        <x:v>D004</x:v>
      </x:c>
      <x:c r="H34" s="16" t="str">
        <x:v>2026-04-19 17:00:00</x:v>
      </x:c>
      <x:c r="I34" s="16" t="str">
        <x:v>2026-04-26 17:00:00</x:v>
      </x:c>
      <x:c r="J34" s="16"/>
      <x:c r="K34" s="14" t="str">
        <x:v>Overdue</x:v>
      </x:c>
      <x:c r="L34" s="14" t="str">
        <x:v>Low</x:v>
      </x:c>
      <x:c r="M34" s="18" t="n">
        <x:v>0.95</x:v>
      </x:c>
      <x:c r="N34" s="18" t="n">
        <x:v>0.61</x:v>
      </x:c>
      <x:c r="O34" s="14" t="n">
        <x:v>48</x:v>
      </x:c>
      <x:c r="P34" s="14" t="n">
        <x:v>1</x:v>
      </x:c>
      <x:c r="Q34" s="14"/>
    </x:row>
    <x:row r="35">
      <x:c r="A35" s="14" t="str">
        <x:v>P00034</x:v>
      </x:c>
      <x:c r="B35" s="14" t="str">
        <x:v>M00004</x:v>
      </x:c>
      <x:c r="C35" s="14" t="str">
        <x:v>C0004</x:v>
      </x:c>
      <x:c r="D35" s="14" t="str">
        <x:v>I will get legal approval before end of week.</x:v>
      </x:c>
      <x:c r="E35" s="14" t="str">
        <x:v>Customer Update</x:v>
      </x:c>
      <x:c r="F35" s="14" t="str">
        <x:v>E009</x:v>
      </x:c>
      <x:c r="G35" s="14" t="str">
        <x:v>D001</x:v>
      </x:c>
      <x:c r="H35" s="16" t="str">
        <x:v>2026-01-12 00:00:00</x:v>
      </x:c>
      <x:c r="I35" s="16" t="str">
        <x:v>2026-01-13 00:00:00</x:v>
      </x:c>
      <x:c r="J35" s="16"/>
      <x:c r="K35" s="14" t="str">
        <x:v>Escalated</x:v>
      </x:c>
      <x:c r="L35" s="14" t="str">
        <x:v>Critical</x:v>
      </x:c>
      <x:c r="M35" s="18" t="n">
        <x:v>0.873</x:v>
      </x:c>
      <x:c r="N35" s="18" t="n">
        <x:v>0.275</x:v>
      </x:c>
      <x:c r="O35" s="14" t="n">
        <x:v>72</x:v>
      </x:c>
      <x:c r="P35" s="14" t="n">
        <x:v>1</x:v>
      </x:c>
      <x:c r="Q35" s="14"/>
    </x:row>
    <x:row r="36">
      <x:c r="A36" s="14" t="str">
        <x:v>P00035</x:v>
      </x:c>
      <x:c r="B36" s="14" t="str">
        <x:v>M00015</x:v>
      </x:c>
      <x:c r="C36" s="14" t="str">
        <x:v>C0015</x:v>
      </x:c>
      <x:c r="D36" s="14" t="str">
        <x:v>Let's revisit this after the production release.</x:v>
      </x:c>
      <x:c r="E36" s="14" t="str">
        <x:v>Dependency</x:v>
      </x:c>
      <x:c r="F36" s="14" t="str">
        <x:v>E014</x:v>
      </x:c>
      <x:c r="G36" s="14" t="str">
        <x:v>D006</x:v>
      </x:c>
      <x:c r="H36" s="16" t="str">
        <x:v>2026-02-03 06:00:00</x:v>
      </x:c>
      <x:c r="I36" s="16" t="str">
        <x:v>2026-02-08 06:00:00</x:v>
      </x:c>
      <x:c r="J36" s="16" t="str">
        <x:v>2026-02-08 23:00:00</x:v>
      </x:c>
      <x:c r="K36" s="14" t="str">
        <x:v>Fulfilled</x:v>
      </x:c>
      <x:c r="L36" s="14" t="str">
        <x:v>High</x:v>
      </x:c>
      <x:c r="M36" s="18" t="n">
        <x:v>0.739</x:v>
      </x:c>
      <x:c r="N36" s="18" t="n">
        <x:v>0.469</x:v>
      </x:c>
      <x:c r="O36" s="14" t="n">
        <x:v>72</x:v>
      </x:c>
      <x:c r="P36" s="14" t="n">
        <x:v>0</x:v>
      </x:c>
      <x:c r="Q36" s="14"/>
    </x:row>
    <x:row r="37">
      <x:c r="A37" s="14" t="str">
        <x:v>P00036</x:v>
      </x:c>
      <x:c r="B37" s="14" t="str">
        <x:v>M00026</x:v>
      </x:c>
      <x:c r="C37" s="14" t="str">
        <x:v>C0026</x:v>
      </x:c>
      <x:c r="D37" s="14" t="str">
        <x:v>Engineering will complete the fix in the next sprint.</x:v>
      </x:c>
      <x:c r="E37" s="14" t="str">
        <x:v>Deliverable</x:v>
      </x:c>
      <x:c r="F37" s="14" t="str">
        <x:v>E019</x:v>
      </x:c>
      <x:c r="G37" s="14" t="str">
        <x:v>D003</x:v>
      </x:c>
      <x:c r="H37" s="16" t="str">
        <x:v>2026-02-25 19:00:00</x:v>
      </x:c>
      <x:c r="I37" s="16" t="str">
        <x:v>2026-02-26 19:00:00</x:v>
      </x:c>
      <x:c r="J37" s="16"/>
      <x:c r="K37" s="14" t="str">
        <x:v>Escalated</x:v>
      </x:c>
      <x:c r="L37" s="14" t="str">
        <x:v>Medium</x:v>
      </x:c>
      <x:c r="M37" s="18" t="n">
        <x:v>0.942</x:v>
      </x:c>
      <x:c r="N37" s="18" t="n">
        <x:v>0.313</x:v>
      </x:c>
      <x:c r="O37" s="14" t="n">
        <x:v>48</x:v>
      </x:c>
      <x:c r="P37" s="14" t="n">
        <x:v>1</x:v>
      </x:c>
      <x:c r="Q37" s="14"/>
    </x:row>
    <x:row r="38">
      <x:c r="A38" s="14" t="str">
        <x:v>P00037</x:v>
      </x:c>
      <x:c r="B38" s="14" t="str">
        <x:v>M00037</x:v>
      </x:c>
      <x:c r="C38" s="14" t="str">
        <x:v>C0037</x:v>
      </x:c>
      <x:c r="D38" s="14" t="str">
        <x:v>I will send the revised analysis by Wednesday.</x:v>
      </x:c>
      <x:c r="E38" s="14" t="str">
        <x:v>Decision</x:v>
      </x:c>
      <x:c r="F38" s="14" t="str">
        <x:v>E024</x:v>
      </x:c>
      <x:c r="G38" s="14" t="str">
        <x:v>D008</x:v>
      </x:c>
      <x:c r="H38" s="16" t="str">
        <x:v>2026-03-18 13:00:00</x:v>
      </x:c>
      <x:c r="I38" s="16" t="str">
        <x:v>2026-03-21 13:00:00</x:v>
      </x:c>
      <x:c r="J38" s="16"/>
      <x:c r="K38" s="14" t="str">
        <x:v>Overdue</x:v>
      </x:c>
      <x:c r="L38" s="14" t="str">
        <x:v>Low</x:v>
      </x:c>
      <x:c r="M38" s="18" t="n">
        <x:v>0.944</x:v>
      </x:c>
      <x:c r="N38" s="18" t="n">
        <x:v>0.674</x:v>
      </x:c>
      <x:c r="O38" s="14" t="n">
        <x:v>72</x:v>
      </x:c>
      <x:c r="P38" s="14" t="n">
        <x:v>1</x:v>
      </x:c>
      <x:c r="Q38" s="14"/>
    </x:row>
    <x:row r="39">
      <x:c r="A39" s="14" t="str">
        <x:v>P00038</x:v>
      </x:c>
      <x:c r="B39" s="14" t="str">
        <x:v>M00048</x:v>
      </x:c>
      <x:c r="C39" s="14" t="str">
        <x:v>C0048</x:v>
      </x:c>
      <x:c r="D39" s="14" t="str">
        <x:v>No action is required until finance validates the forecast.</x:v>
      </x:c>
      <x:c r="E39" s="14" t="str">
        <x:v>Approval</x:v>
      </x:c>
      <x:c r="F39" s="14" t="str">
        <x:v>E029</x:v>
      </x:c>
      <x:c r="G39" s="14" t="str">
        <x:v>D005</x:v>
      </x:c>
      <x:c r="H39" s="16" t="str">
        <x:v>2026-04-09 22:00:00</x:v>
      </x:c>
      <x:c r="I39" s="16" t="str">
        <x:v>2026-04-13 22:00:00</x:v>
      </x:c>
      <x:c r="J39" s="16" t="str">
        <x:v>2026-04-15 10:00:00</x:v>
      </x:c>
      <x:c r="K39" s="14" t="str">
        <x:v>Fulfilled</x:v>
      </x:c>
      <x:c r="L39" s="14" t="str">
        <x:v>Critical</x:v>
      </x:c>
      <x:c r="M39" s="18" t="n">
        <x:v>0.981</x:v>
      </x:c>
      <x:c r="N39" s="18" t="n">
        <x:v>0.242</x:v>
      </x:c>
      <x:c r="O39" s="14" t="n">
        <x:v>120</x:v>
      </x:c>
      <x:c r="P39" s="14" t="n">
        <x:v>1</x:v>
      </x:c>
      <x:c r="Q39" s="14"/>
    </x:row>
    <x:row r="40">
      <x:c r="A40" s="14" t="str">
        <x:v>P00039</x:v>
      </x:c>
      <x:c r="B40" s="14" t="str">
        <x:v>M00059</x:v>
      </x:c>
      <x:c r="C40" s="14" t="str">
        <x:v>C0059</x:v>
      </x:c>
      <x:c r="D40" s="14" t="str">
        <x:v>The customer expects an update by end of day.</x:v>
      </x:c>
      <x:c r="E40" s="14" t="str">
        <x:v>Follow-up</x:v>
      </x:c>
      <x:c r="F40" s="14" t="str">
        <x:v>E034</x:v>
      </x:c>
      <x:c r="G40" s="14" t="str">
        <x:v>D002</x:v>
      </x:c>
      <x:c r="H40" s="16" t="str">
        <x:v>2026-05-02 03:00:00</x:v>
      </x:c>
      <x:c r="I40" s="16" t="str">
        <x:v>2026-05-12 03:00:00</x:v>
      </x:c>
      <x:c r="J40" s="16"/>
      <x:c r="K40" s="14" t="str">
        <x:v>Reassigned</x:v>
      </x:c>
      <x:c r="L40" s="14" t="str">
        <x:v>High</x:v>
      </x:c>
      <x:c r="M40" s="18" t="n">
        <x:v>0.929</x:v>
      </x:c>
      <x:c r="N40" s="18" t="n">
        <x:v>0.359</x:v>
      </x:c>
      <x:c r="O40" s="14" t="n">
        <x:v>96</x:v>
      </x:c>
      <x:c r="P40" s="14" t="n">
        <x:v>1</x:v>
      </x:c>
      <x:c r="Q40" s="14"/>
    </x:row>
    <x:row r="41">
      <x:c r="A41" s="14" t="str">
        <x:v>P00040</x:v>
      </x:c>
      <x:c r="B41" s="14" t="str">
        <x:v>M00070</x:v>
      </x:c>
      <x:c r="C41" s="14" t="str">
        <x:v>C0010</x:v>
      </x:c>
      <x:c r="D41" s="14" t="str">
        <x:v>Please escalate if there is no response within 48 hours.</x:v>
      </x:c>
      <x:c r="E41" s="14" t="str">
        <x:v>Investigation</x:v>
      </x:c>
      <x:c r="F41" s="14" t="str">
        <x:v>E039</x:v>
      </x:c>
      <x:c r="G41" s="14" t="str">
        <x:v>D007</x:v>
      </x:c>
      <x:c r="H41" s="16" t="str">
        <x:v>2026-01-24 11:00:00</x:v>
      </x:c>
      <x:c r="I41" s="16" t="str">
        <x:v>2026-02-03 11:00:00</x:v>
      </x:c>
      <x:c r="J41" s="16"/>
      <x:c r="K41" s="14" t="str">
        <x:v>Overdue</x:v>
      </x:c>
      <x:c r="L41" s="14" t="str">
        <x:v>Medium</x:v>
      </x:c>
      <x:c r="M41" s="18" t="n">
        <x:v>0.792</x:v>
      </x:c>
      <x:c r="N41" s="18" t="n">
        <x:v>0.761</x:v>
      </x:c>
      <x:c r="O41" s="14" t="n">
        <x:v>96</x:v>
      </x:c>
      <x:c r="P41" s="14" t="n">
        <x:v>0</x:v>
      </x:c>
      <x:c r="Q41" s="14"/>
    </x:row>
    <x:row r="42">
      <x:c r="A42" s="14" t="str">
        <x:v>P00041</x:v>
      </x:c>
      <x:c r="B42" s="14" t="str">
        <x:v>M00081</x:v>
      </x:c>
      <x:c r="C42" s="14" t="str">
        <x:v>C0021</x:v>
      </x:c>
      <x:c r="D42" s="14" t="str">
        <x:v>We need to reassign this because the current owner is on leave.</x:v>
      </x:c>
      <x:c r="E42" s="14" t="str">
        <x:v>Customer Update</x:v>
      </x:c>
      <x:c r="F42" s="14" t="str">
        <x:v>E004</x:v>
      </x:c>
      <x:c r="G42" s="14" t="str">
        <x:v>D004</x:v>
      </x:c>
      <x:c r="H42" s="16" t="str">
        <x:v>2026-02-15 23:00:00</x:v>
      </x:c>
      <x:c r="I42" s="16" t="str">
        <x:v>2026-02-25 23:00:00</x:v>
      </x:c>
      <x:c r="J42" s="16"/>
      <x:c r="K42" s="14" t="str">
        <x:v>Reassigned</x:v>
      </x:c>
      <x:c r="L42" s="14" t="str">
        <x:v>Low</x:v>
      </x:c>
      <x:c r="M42" s="18" t="n">
        <x:v>0.795</x:v>
      </x:c>
      <x:c r="N42" s="18" t="n">
        <x:v>0.35</x:v>
      </x:c>
      <x:c r="O42" s="14" t="n">
        <x:v>48</x:v>
      </x:c>
      <x:c r="P42" s="14" t="n">
        <x:v>1</x:v>
      </x:c>
      <x:c r="Q42" s="14"/>
    </x:row>
    <x:row r="43">
      <x:c r="A43" s="14" t="str">
        <x:v>P00042</x:v>
      </x:c>
      <x:c r="B43" s="14" t="str">
        <x:v>M00092</x:v>
      </x:c>
      <x:c r="C43" s="14" t="str">
        <x:v>C0032</x:v>
      </x:c>
      <x:c r="D43" s="14" t="str">
        <x:v>I completed the draft and attached it for review.</x:v>
      </x:c>
      <x:c r="E43" s="14" t="str">
        <x:v>Dependency</x:v>
      </x:c>
      <x:c r="F43" s="14" t="str">
        <x:v>E009</x:v>
      </x:c>
      <x:c r="G43" s="14" t="str">
        <x:v>D001</x:v>
      </x:c>
      <x:c r="H43" s="16" t="str">
        <x:v>2026-03-08 19:00:00</x:v>
      </x:c>
      <x:c r="I43" s="16" t="str">
        <x:v>2026-03-18 19:00:00</x:v>
      </x:c>
      <x:c r="J43" s="16" t="str">
        <x:v>2026-03-20 19:00:00</x:v>
      </x:c>
      <x:c r="K43" s="14" t="str">
        <x:v>Fulfilled</x:v>
      </x:c>
      <x:c r="L43" s="14" t="str">
        <x:v>Critical</x:v>
      </x:c>
      <x:c r="M43" s="18" t="n">
        <x:v>0.9</x:v>
      </x:c>
      <x:c r="N43" s="18" t="n">
        <x:v>0.282</x:v>
      </x:c>
      <x:c r="O43" s="14" t="n">
        <x:v>72</x:v>
      </x:c>
      <x:c r="P43" s="14" t="n">
        <x:v>1</x:v>
      </x:c>
      <x:c r="Q43" s="14"/>
    </x:row>
    <x:row r="44">
      <x:c r="A44" s="14" t="str">
        <x:v>P00043</x:v>
      </x:c>
      <x:c r="B44" s="14" t="str">
        <x:v>M00103</x:v>
      </x:c>
      <x:c r="C44" s="14" t="str">
        <x:v>C0043</x:v>
      </x:c>
      <x:c r="D44" s="14" t="str">
        <x:v>The dependency is still blocked by vendor access.</x:v>
      </x:c>
      <x:c r="E44" s="14" t="str">
        <x:v>Deliverable</x:v>
      </x:c>
      <x:c r="F44" s="14" t="str">
        <x:v>E014</x:v>
      </x:c>
      <x:c r="G44" s="14" t="str">
        <x:v>D006</x:v>
      </x:c>
      <x:c r="H44" s="16" t="str">
        <x:v>2026-03-30 23:00:00</x:v>
      </x:c>
      <x:c r="I44" s="16" t="str">
        <x:v>2026-04-03 23:00:00</x:v>
      </x:c>
      <x:c r="J44" s="16"/>
      <x:c r="K44" s="14" t="str">
        <x:v>Escalated</x:v>
      </x:c>
      <x:c r="L44" s="14" t="str">
        <x:v>High</x:v>
      </x:c>
      <x:c r="M44" s="18" t="n">
        <x:v>0.769</x:v>
      </x:c>
      <x:c r="N44" s="18" t="n">
        <x:v>0.377</x:v>
      </x:c>
      <x:c r="O44" s="14" t="n">
        <x:v>72</x:v>
      </x:c>
      <x:c r="P44" s="14" t="n">
        <x:v>0</x:v>
      </x:c>
      <x:c r="Q44" s="14"/>
    </x:row>
    <x:row r="45">
      <x:c r="A45" s="14" t="str">
        <x:v>P00044</x:v>
      </x:c>
      <x:c r="B45" s="14" t="str">
        <x:v>M00114</x:v>
      </x:c>
      <x:c r="C45" s="14" t="str">
        <x:v>C0054</x:v>
      </x:c>
      <x:c r="D45" s="14" t="str">
        <x:v>Can you confirm the owner and close the open action?</x:v>
      </x:c>
      <x:c r="E45" s="14" t="str">
        <x:v>Decision</x:v>
      </x:c>
      <x:c r="F45" s="14" t="str">
        <x:v>E019</x:v>
      </x:c>
      <x:c r="G45" s="14" t="str">
        <x:v>D003</x:v>
      </x:c>
      <x:c r="H45" s="16" t="str">
        <x:v>2026-04-22 10:00:00</x:v>
      </x:c>
      <x:c r="I45" s="16" t="str">
        <x:v>2026-05-02 10:00:00</x:v>
      </x:c>
      <x:c r="J45" s="16" t="str">
        <x:v>2026-05-02 15:00:00</x:v>
      </x:c>
      <x:c r="K45" s="14" t="str">
        <x:v>Fulfilled</x:v>
      </x:c>
      <x:c r="L45" s="14" t="str">
        <x:v>Medium</x:v>
      </x:c>
      <x:c r="M45" s="18" t="n">
        <x:v>0.958</x:v>
      </x:c>
      <x:c r="N45" s="18" t="n">
        <x:v>0.501</x:v>
      </x:c>
      <x:c r="O45" s="14" t="n">
        <x:v>48</x:v>
      </x:c>
      <x:c r="P45" s="14" t="n">
        <x:v>1</x:v>
      </x:c>
      <x:c r="Q45" s="14"/>
    </x:row>
    <x:row r="46">
      <x:c r="A46" s="14" t="str">
        <x:v>P00045</x:v>
      </x:c>
      <x:c r="B46" s="14" t="str">
        <x:v>M00125</x:v>
      </x:c>
      <x:c r="C46" s="14" t="str">
        <x:v>C0005</x:v>
      </x:c>
      <x:c r="D46" s="14" t="str">
        <x:v>We will circle back next week with a decision.</x:v>
      </x:c>
      <x:c r="E46" s="14" t="str">
        <x:v>Approval</x:v>
      </x:c>
      <x:c r="F46" s="14" t="str">
        <x:v>E024</x:v>
      </x:c>
      <x:c r="G46" s="14" t="str">
        <x:v>D008</x:v>
      </x:c>
      <x:c r="H46" s="16" t="str">
        <x:v>2026-01-14 18:00:00</x:v>
      </x:c>
      <x:c r="I46" s="16" t="str">
        <x:v>2026-01-17 18:00:00</x:v>
      </x:c>
      <x:c r="J46" s="16" t="str">
        <x:v>2026-01-19 06:00:00</x:v>
      </x:c>
      <x:c r="K46" s="14" t="str">
        <x:v>Fulfilled</x:v>
      </x:c>
      <x:c r="L46" s="14" t="str">
        <x:v>Low</x:v>
      </x:c>
      <x:c r="M46" s="18" t="n">
        <x:v>0.976</x:v>
      </x:c>
      <x:c r="N46" s="18" t="n">
        <x:v>0.131</x:v>
      </x:c>
      <x:c r="O46" s="14" t="n">
        <x:v>72</x:v>
      </x:c>
      <x:c r="P46" s="14" t="n">
        <x:v>1</x:v>
      </x:c>
      <x:c r="Q46" s="14"/>
    </x:row>
    <x:row r="47">
      <x:c r="A47" s="14" t="str">
        <x:v>P00046</x:v>
      </x:c>
      <x:c r="B47" s="14" t="str">
        <x:v>M00136</x:v>
      </x:c>
      <x:c r="C47" s="14" t="str">
        <x:v>C0016</x:v>
      </x:c>
      <x:c r="D47" s="14" t="str">
        <x:v>I will get legal approval before Tuesday.</x:v>
      </x:c>
      <x:c r="E47" s="14" t="str">
        <x:v>Follow-up</x:v>
      </x:c>
      <x:c r="F47" s="14" t="str">
        <x:v>E029</x:v>
      </x:c>
      <x:c r="G47" s="14" t="str">
        <x:v>D005</x:v>
      </x:c>
      <x:c r="H47" s="16" t="str">
        <x:v>2026-02-04 10:00:00</x:v>
      </x:c>
      <x:c r="I47" s="16" t="str">
        <x:v>2026-02-11 10:00:00</x:v>
      </x:c>
      <x:c r="J47" s="16" t="str">
        <x:v>2026-02-13 03:00:00</x:v>
      </x:c>
      <x:c r="K47" s="14" t="str">
        <x:v>Fulfilled</x:v>
      </x:c>
      <x:c r="L47" s="14" t="str">
        <x:v>Critical</x:v>
      </x:c>
      <x:c r="M47" s="18" t="n">
        <x:v>0.925</x:v>
      </x:c>
      <x:c r="N47" s="18" t="n">
        <x:v>0.494</x:v>
      </x:c>
      <x:c r="O47" s="14" t="n">
        <x:v>120</x:v>
      </x:c>
      <x:c r="P47" s="14" t="n">
        <x:v>1</x:v>
      </x:c>
      <x:c r="Q47" s="14"/>
    </x:row>
    <x:row r="48">
      <x:c r="A48" s="14" t="str">
        <x:v>P00047</x:v>
      </x:c>
      <x:c r="B48" s="14" t="str">
        <x:v>M00147</x:v>
      </x:c>
      <x:c r="C48" s="14" t="str">
        <x:v>C0027</x:v>
      </x:c>
      <x:c r="D48" s="14" t="str">
        <x:v>Let's revisit this after the pilot release.</x:v>
      </x:c>
      <x:c r="E48" s="14" t="str">
        <x:v>Investigation</x:v>
      </x:c>
      <x:c r="F48" s="14" t="str">
        <x:v>E034</x:v>
      </x:c>
      <x:c r="G48" s="14" t="str">
        <x:v>D002</x:v>
      </x:c>
      <x:c r="H48" s="16" t="str">
        <x:v>2026-02-27 01:00:00</x:v>
      </x:c>
      <x:c r="I48" s="16" t="str">
        <x:v>2026-03-06 01:00:00</x:v>
      </x:c>
      <x:c r="J48" s="16"/>
      <x:c r="K48" s="14" t="str">
        <x:v>Overdue</x:v>
      </x:c>
      <x:c r="L48" s="14" t="str">
        <x:v>High</x:v>
      </x:c>
      <x:c r="M48" s="18" t="n">
        <x:v>0.841</x:v>
      </x:c>
      <x:c r="N48" s="18" t="n">
        <x:v>0.26</x:v>
      </x:c>
      <x:c r="O48" s="14" t="n">
        <x:v>96</x:v>
      </x:c>
      <x:c r="P48" s="14" t="n">
        <x:v>1</x:v>
      </x:c>
      <x:c r="Q48" s="14"/>
    </x:row>
    <x:row r="49">
      <x:c r="A49" s="14" t="str">
        <x:v>P00048</x:v>
      </x:c>
      <x:c r="B49" s="14" t="str">
        <x:v>M00158</x:v>
      </x:c>
      <x:c r="C49" s="14" t="str">
        <x:v>C0038</x:v>
      </x:c>
      <x:c r="D49" s="14" t="str">
        <x:v>Engineering will complete the fix in the next sprint.</x:v>
      </x:c>
      <x:c r="E49" s="14" t="str">
        <x:v>Customer Update</x:v>
      </x:c>
      <x:c r="F49" s="14" t="str">
        <x:v>E039</x:v>
      </x:c>
      <x:c r="G49" s="14" t="str">
        <x:v>D007</x:v>
      </x:c>
      <x:c r="H49" s="16" t="str">
        <x:v>2026-03-21 06:00:00</x:v>
      </x:c>
      <x:c r="I49" s="16" t="str">
        <x:v>2026-03-24 06:00:00</x:v>
      </x:c>
      <x:c r="J49" s="16" t="str">
        <x:v>2026-03-24 07:00:00</x:v>
      </x:c>
      <x:c r="K49" s="14" t="str">
        <x:v>Fulfilled</x:v>
      </x:c>
      <x:c r="L49" s="14" t="str">
        <x:v>Medium</x:v>
      </x:c>
      <x:c r="M49" s="18" t="n">
        <x:v>0.803</x:v>
      </x:c>
      <x:c r="N49" s="18" t="n">
        <x:v>0.429</x:v>
      </x:c>
      <x:c r="O49" s="14" t="n">
        <x:v>96</x:v>
      </x:c>
      <x:c r="P49" s="14" t="n">
        <x:v>0</x:v>
      </x:c>
      <x:c r="Q49" s="14"/>
    </x:row>
    <x:row r="50">
      <x:c r="A50" s="14" t="str">
        <x:v>P00049</x:v>
      </x:c>
      <x:c r="B50" s="14" t="str">
        <x:v>M00169</x:v>
      </x:c>
      <x:c r="C50" s="14" t="str">
        <x:v>C0049</x:v>
      </x:c>
      <x:c r="D50" s="14" t="str">
        <x:v>I will send the revised analysis by end of week.</x:v>
      </x:c>
      <x:c r="E50" s="14" t="str">
        <x:v>Dependency</x:v>
      </x:c>
      <x:c r="F50" s="14" t="str">
        <x:v>E004</x:v>
      </x:c>
      <x:c r="G50" s="14" t="str">
        <x:v>D004</x:v>
      </x:c>
      <x:c r="H50" s="16" t="str">
        <x:v>2026-04-12 15:00:00</x:v>
      </x:c>
      <x:c r="I50" s="16" t="str">
        <x:v>2026-04-16 15:00:00</x:v>
      </x:c>
      <x:c r="J50" s="16" t="str">
        <x:v>2026-04-17 05:00:00</x:v>
      </x:c>
      <x:c r="K50" s="14" t="str">
        <x:v>Fulfilled</x:v>
      </x:c>
      <x:c r="L50" s="14" t="str">
        <x:v>Low</x:v>
      </x:c>
      <x:c r="M50" s="18" t="n">
        <x:v>0.835</x:v>
      </x:c>
      <x:c r="N50" s="18" t="n">
        <x:v>0.528</x:v>
      </x:c>
      <x:c r="O50" s="14" t="n">
        <x:v>48</x:v>
      </x:c>
      <x:c r="P50" s="14" t="n">
        <x:v>1</x:v>
      </x:c>
      <x:c r="Q50" s="14"/>
    </x:row>
    <x:row r="51">
      <x:c r="A51" s="14" t="str">
        <x:v>P00050</x:v>
      </x:c>
      <x:c r="B51" s="14" t="str">
        <x:v>M00180</x:v>
      </x:c>
      <x:c r="C51" s="14" t="str">
        <x:v>C0060</x:v>
      </x:c>
      <x:c r="D51" s="14" t="str">
        <x:v>No action is required until finance validates the forecast.</x:v>
      </x:c>
      <x:c r="E51" s="14" t="str">
        <x:v>Deliverable</x:v>
      </x:c>
      <x:c r="F51" s="14" t="str">
        <x:v>E009</x:v>
      </x:c>
      <x:c r="G51" s="14" t="str">
        <x:v>D001</x:v>
      </x:c>
      <x:c r="H51" s="16" t="str">
        <x:v>2026-05-04 23:00:00</x:v>
      </x:c>
      <x:c r="I51" s="16" t="str">
        <x:v>2026-05-07 23:00:00</x:v>
      </x:c>
      <x:c r="J51" s="16" t="str">
        <x:v>2026-05-09 03:00:00</x:v>
      </x:c>
      <x:c r="K51" s="14" t="str">
        <x:v>Fulfilled</x:v>
      </x:c>
      <x:c r="L51" s="14" t="str">
        <x:v>Critical</x:v>
      </x:c>
      <x:c r="M51" s="18" t="n">
        <x:v>0.793</x:v>
      </x:c>
      <x:c r="N51" s="18" t="n">
        <x:v>0.231</x:v>
      </x:c>
      <x:c r="O51" s="14" t="n">
        <x:v>72</x:v>
      </x:c>
      <x:c r="P51" s="14" t="n">
        <x:v>0</x:v>
      </x:c>
      <x:c r="Q51" s="14"/>
    </x:row>
    <x:row r="52">
      <x:c r="A52" s="14" t="str">
        <x:v>P00051</x:v>
      </x:c>
      <x:c r="B52" s="14" t="str">
        <x:v>M00011</x:v>
      </x:c>
      <x:c r="C52" s="14" t="str">
        <x:v>C0011</x:v>
      </x:c>
      <x:c r="D52" s="14" t="str">
        <x:v>The customer expects an update by end of day.</x:v>
      </x:c>
      <x:c r="E52" s="14" t="str">
        <x:v>Decision</x:v>
      </x:c>
      <x:c r="F52" s="14" t="str">
        <x:v>E014</x:v>
      </x:c>
      <x:c r="G52" s="14" t="str">
        <x:v>D006</x:v>
      </x:c>
      <x:c r="H52" s="16" t="str">
        <x:v>2026-01-25 16:00:00</x:v>
      </x:c>
      <x:c r="I52" s="16" t="str">
        <x:v>2026-01-26 16:00:00</x:v>
      </x:c>
      <x:c r="J52" s="16"/>
      <x:c r="K52" s="14" t="str">
        <x:v>Overdue</x:v>
      </x:c>
      <x:c r="L52" s="14" t="str">
        <x:v>High</x:v>
      </x:c>
      <x:c r="M52" s="18" t="n">
        <x:v>0.805</x:v>
      </x:c>
      <x:c r="N52" s="18" t="n">
        <x:v>0.696</x:v>
      </x:c>
      <x:c r="O52" s="14" t="n">
        <x:v>72</x:v>
      </x:c>
      <x:c r="P52" s="14" t="n">
        <x:v>1</x:v>
      </x:c>
      <x:c r="Q52" s="14" t="str">
        <x:v>DG003</x:v>
      </x:c>
    </x:row>
    <x:row r="53">
      <x:c r="A53" s="14" t="str">
        <x:v>P00052</x:v>
      </x:c>
      <x:c r="B53" s="14" t="str">
        <x:v>M00022</x:v>
      </x:c>
      <x:c r="C53" s="14" t="str">
        <x:v>C0022</x:v>
      </x:c>
      <x:c r="D53" s="14" t="str">
        <x:v>Please escalate if there is no response within 48 hours.</x:v>
      </x:c>
      <x:c r="E53" s="14" t="str">
        <x:v>Approval</x:v>
      </x:c>
      <x:c r="F53" s="14" t="str">
        <x:v>E019</x:v>
      </x:c>
      <x:c r="G53" s="14" t="str">
        <x:v>D003</x:v>
      </x:c>
      <x:c r="H53" s="16" t="str">
        <x:v>2026-02-17 00:00:00</x:v>
      </x:c>
      <x:c r="I53" s="16" t="str">
        <x:v>2026-02-27 00:00:00</x:v>
      </x:c>
      <x:c r="J53" s="16"/>
      <x:c r="K53" s="14" t="str">
        <x:v>Overdue</x:v>
      </x:c>
      <x:c r="L53" s="14" t="str">
        <x:v>Medium</x:v>
      </x:c>
      <x:c r="M53" s="18" t="n">
        <x:v>0.772</x:v>
      </x:c>
      <x:c r="N53" s="18" t="n">
        <x:v>0.693</x:v>
      </x:c>
      <x:c r="O53" s="14" t="n">
        <x:v>48</x:v>
      </x:c>
      <x:c r="P53" s="14" t="n">
        <x:v>0</x:v>
      </x:c>
      <x:c r="Q53" s="14" t="str">
        <x:v>DG003</x:v>
      </x:c>
    </x:row>
    <x:row r="54">
      <x:c r="A54" s="14" t="str">
        <x:v>P00053</x:v>
      </x:c>
      <x:c r="B54" s="14" t="str">
        <x:v>M00033</x:v>
      </x:c>
      <x:c r="C54" s="14" t="str">
        <x:v>C0033</x:v>
      </x:c>
      <x:c r="D54" s="14" t="str">
        <x:v>We need to reassign this because the current owner is on leave.</x:v>
      </x:c>
      <x:c r="E54" s="14" t="str">
        <x:v>Follow-up</x:v>
      </x:c>
      <x:c r="F54" s="14" t="str">
        <x:v>E024</x:v>
      </x:c>
      <x:c r="G54" s="14" t="str">
        <x:v>D008</x:v>
      </x:c>
      <x:c r="H54" s="16" t="str">
        <x:v>2026-03-11 09:00:00</x:v>
      </x:c>
      <x:c r="I54" s="16" t="str">
        <x:v>2026-03-14 09:00:00</x:v>
      </x:c>
      <x:c r="J54" s="16"/>
      <x:c r="K54" s="14" t="str">
        <x:v>Overdue</x:v>
      </x:c>
      <x:c r="L54" s="14" t="str">
        <x:v>Low</x:v>
      </x:c>
      <x:c r="M54" s="18" t="n">
        <x:v>0.984</x:v>
      </x:c>
      <x:c r="N54" s="18" t="n">
        <x:v>0.565</x:v>
      </x:c>
      <x:c r="O54" s="14" t="n">
        <x:v>72</x:v>
      </x:c>
      <x:c r="P54" s="14" t="n">
        <x:v>1</x:v>
      </x:c>
      <x:c r="Q54" s="14"/>
    </x:row>
    <x:row r="55">
      <x:c r="A55" s="14" t="str">
        <x:v>P00054</x:v>
      </x:c>
      <x:c r="B55" s="14" t="str">
        <x:v>M00044</x:v>
      </x:c>
      <x:c r="C55" s="14" t="str">
        <x:v>C0044</x:v>
      </x:c>
      <x:c r="D55" s="14" t="str">
        <x:v>I completed the draft and attached it for review.</x:v>
      </x:c>
      <x:c r="E55" s="14" t="str">
        <x:v>Investigation</x:v>
      </x:c>
      <x:c r="F55" s="14" t="str">
        <x:v>E029</x:v>
      </x:c>
      <x:c r="G55" s="14" t="str">
        <x:v>D005</x:v>
      </x:c>
      <x:c r="H55" s="16" t="str">
        <x:v>2026-04-02 17:00:00</x:v>
      </x:c>
      <x:c r="I55" s="16" t="str">
        <x:v>2026-04-05 17:00:00</x:v>
      </x:c>
      <x:c r="J55" s="16"/>
      <x:c r="K55" s="14" t="str">
        <x:v>Reassigned</x:v>
      </x:c>
      <x:c r="L55" s="14" t="str">
        <x:v>Critical</x:v>
      </x:c>
      <x:c r="M55" s="18" t="n">
        <x:v>0.945</x:v>
      </x:c>
      <x:c r="N55" s="18" t="n">
        <x:v>0.258</x:v>
      </x:c>
      <x:c r="O55" s="14" t="n">
        <x:v>120</x:v>
      </x:c>
      <x:c r="P55" s="14" t="n">
        <x:v>1</x:v>
      </x:c>
      <x:c r="Q55" s="14"/>
    </x:row>
    <x:row r="56">
      <x:c r="A56" s="14" t="str">
        <x:v>P00055</x:v>
      </x:c>
      <x:c r="B56" s="14" t="str">
        <x:v>M00055</x:v>
      </x:c>
      <x:c r="C56" s="14" t="str">
        <x:v>C0055</x:v>
      </x:c>
      <x:c r="D56" s="14" t="str">
        <x:v>The dependency is still blocked by vendor access.</x:v>
      </x:c>
      <x:c r="E56" s="14" t="str">
        <x:v>Customer Update</x:v>
      </x:c>
      <x:c r="F56" s="14" t="str">
        <x:v>E034</x:v>
      </x:c>
      <x:c r="G56" s="14" t="str">
        <x:v>D002</x:v>
      </x:c>
      <x:c r="H56" s="16" t="str">
        <x:v>2026-04-23 14:00:00</x:v>
      </x:c>
      <x:c r="I56" s="16" t="str">
        <x:v>2026-04-26 14:00:00</x:v>
      </x:c>
      <x:c r="J56" s="16" t="str">
        <x:v>2026-04-25 09:00:00</x:v>
      </x:c>
      <x:c r="K56" s="14" t="str">
        <x:v>Fulfilled</x:v>
      </x:c>
      <x:c r="L56" s="14" t="str">
        <x:v>High</x:v>
      </x:c>
      <x:c r="M56" s="18" t="n">
        <x:v>0.911</x:v>
      </x:c>
      <x:c r="N56" s="18" t="n">
        <x:v>0.156</x:v>
      </x:c>
      <x:c r="O56" s="14" t="n">
        <x:v>96</x:v>
      </x:c>
      <x:c r="P56" s="14" t="n">
        <x:v>1</x:v>
      </x:c>
      <x:c r="Q56" s="14"/>
    </x:row>
    <x:row r="57">
      <x:c r="A57" s="14" t="str">
        <x:v>P00056</x:v>
      </x:c>
      <x:c r="B57" s="14" t="str">
        <x:v>M00066</x:v>
      </x:c>
      <x:c r="C57" s="14" t="str">
        <x:v>C0006</x:v>
      </x:c>
      <x:c r="D57" s="14" t="str">
        <x:v>Can you confirm the owner and close the open action?</x:v>
      </x:c>
      <x:c r="E57" s="14" t="str">
        <x:v>Dependency</x:v>
      </x:c>
      <x:c r="F57" s="14" t="str">
        <x:v>E039</x:v>
      </x:c>
      <x:c r="G57" s="14" t="str">
        <x:v>D007</x:v>
      </x:c>
      <x:c r="H57" s="16" t="str">
        <x:v>2026-01-16 00:00:00</x:v>
      </x:c>
      <x:c r="I57" s="16" t="str">
        <x:v>2026-01-17 00:00:00</x:v>
      </x:c>
      <x:c r="J57" s="16"/>
      <x:c r="K57" s="14" t="str">
        <x:v>Reassigned</x:v>
      </x:c>
      <x:c r="L57" s="14" t="str">
        <x:v>Medium</x:v>
      </x:c>
      <x:c r="M57" s="18" t="n">
        <x:v>0.869</x:v>
      </x:c>
      <x:c r="N57" s="18" t="n">
        <x:v>0.498</x:v>
      </x:c>
      <x:c r="O57" s="14" t="n">
        <x:v>96</x:v>
      </x:c>
      <x:c r="P57" s="14" t="n">
        <x:v>1</x:v>
      </x:c>
      <x:c r="Q57" s="14"/>
    </x:row>
    <x:row r="58">
      <x:c r="A58" s="14" t="str">
        <x:v>P00057</x:v>
      </x:c>
      <x:c r="B58" s="14" t="str">
        <x:v>M00077</x:v>
      </x:c>
      <x:c r="C58" s="14" t="str">
        <x:v>C0017</x:v>
      </x:c>
      <x:c r="D58" s="14" t="str">
        <x:v>We will circle back next week with a decision.</x:v>
      </x:c>
      <x:c r="E58" s="14" t="str">
        <x:v>Deliverable</x:v>
      </x:c>
      <x:c r="F58" s="14" t="str">
        <x:v>E004</x:v>
      </x:c>
      <x:c r="G58" s="14" t="str">
        <x:v>D004</x:v>
      </x:c>
      <x:c r="H58" s="16" t="str">
        <x:v>2026-02-07 06:00:00</x:v>
      </x:c>
      <x:c r="I58" s="16" t="str">
        <x:v>2026-02-09 06:00:00</x:v>
      </x:c>
      <x:c r="J58" s="16"/>
      <x:c r="K58" s="14" t="str">
        <x:v>Overdue</x:v>
      </x:c>
      <x:c r="L58" s="14" t="str">
        <x:v>Low</x:v>
      </x:c>
      <x:c r="M58" s="18" t="n">
        <x:v>0.923</x:v>
      </x:c>
      <x:c r="N58" s="18" t="n">
        <x:v>0.312</x:v>
      </x:c>
      <x:c r="O58" s="14" t="n">
        <x:v>48</x:v>
      </x:c>
      <x:c r="P58" s="14" t="n">
        <x:v>1</x:v>
      </x:c>
      <x:c r="Q58" s="14"/>
    </x:row>
    <x:row r="59">
      <x:c r="A59" s="14" t="str">
        <x:v>P00058</x:v>
      </x:c>
      <x:c r="B59" s="14" t="str">
        <x:v>M00088</x:v>
      </x:c>
      <x:c r="C59" s="14" t="str">
        <x:v>C0028</x:v>
      </x:c>
      <x:c r="D59" s="14" t="str">
        <x:v>I will get legal approval before Friday.</x:v>
      </x:c>
      <x:c r="E59" s="14" t="str">
        <x:v>Decision</x:v>
      </x:c>
      <x:c r="F59" s="14" t="str">
        <x:v>E009</x:v>
      </x:c>
      <x:c r="G59" s="14" t="str">
        <x:v>D001</x:v>
      </x:c>
      <x:c r="H59" s="16" t="str">
        <x:v>2026-03-01 17:00:00</x:v>
      </x:c>
      <x:c r="I59" s="16" t="str">
        <x:v>2026-03-02 17:00:00</x:v>
      </x:c>
      <x:c r="J59" s="16" t="str">
        <x:v>2026-03-03 23:00:00</x:v>
      </x:c>
      <x:c r="K59" s="14" t="str">
        <x:v>Fulfilled</x:v>
      </x:c>
      <x:c r="L59" s="14" t="str">
        <x:v>Critical</x:v>
      </x:c>
      <x:c r="M59" s="18" t="n">
        <x:v>0.849</x:v>
      </x:c>
      <x:c r="N59" s="18" t="n">
        <x:v>0.284</x:v>
      </x:c>
      <x:c r="O59" s="14" t="n">
        <x:v>72</x:v>
      </x:c>
      <x:c r="P59" s="14" t="n">
        <x:v>1</x:v>
      </x:c>
      <x:c r="Q59" s="14"/>
    </x:row>
    <x:row r="60">
      <x:c r="A60" s="14" t="str">
        <x:v>P00059</x:v>
      </x:c>
      <x:c r="B60" s="14" t="str">
        <x:v>M00099</x:v>
      </x:c>
      <x:c r="C60" s="14" t="str">
        <x:v>C0039</x:v>
      </x:c>
      <x:c r="D60" s="14" t="str">
        <x:v>Let's revisit this after the quarter-end release.</x:v>
      </x:c>
      <x:c r="E60" s="14" t="str">
        <x:v>Approval</x:v>
      </x:c>
      <x:c r="F60" s="14" t="str">
        <x:v>E014</x:v>
      </x:c>
      <x:c r="G60" s="14" t="str">
        <x:v>D006</x:v>
      </x:c>
      <x:c r="H60" s="16" t="str">
        <x:v>2026-03-23 20:00:00</x:v>
      </x:c>
      <x:c r="I60" s="16" t="str">
        <x:v>2026-03-24 20:00:00</x:v>
      </x:c>
      <x:c r="J60" s="16" t="str">
        <x:v>2026-03-26 03:00:00</x:v>
      </x:c>
      <x:c r="K60" s="14" t="str">
        <x:v>Fulfilled</x:v>
      </x:c>
      <x:c r="L60" s="14" t="str">
        <x:v>High</x:v>
      </x:c>
      <x:c r="M60" s="18" t="n">
        <x:v>0.751</x:v>
      </x:c>
      <x:c r="N60" s="18" t="n">
        <x:v>0.119</x:v>
      </x:c>
      <x:c r="O60" s="14" t="n">
        <x:v>72</x:v>
      </x:c>
      <x:c r="P60" s="14" t="n">
        <x:v>0</x:v>
      </x:c>
      <x:c r="Q60" s="14"/>
    </x:row>
    <x:row r="61">
      <x:c r="A61" s="14" t="str">
        <x:v>P00060</x:v>
      </x:c>
      <x:c r="B61" s="14" t="str">
        <x:v>M00110</x:v>
      </x:c>
      <x:c r="C61" s="14" t="str">
        <x:v>C0050</x:v>
      </x:c>
      <x:c r="D61" s="14" t="str">
        <x:v>Engineering will complete the fix in the next sprint.</x:v>
      </x:c>
      <x:c r="E61" s="14" t="str">
        <x:v>Follow-up</x:v>
      </x:c>
      <x:c r="F61" s="14" t="str">
        <x:v>E019</x:v>
      </x:c>
      <x:c r="G61" s="14" t="str">
        <x:v>D003</x:v>
      </x:c>
      <x:c r="H61" s="16" t="str">
        <x:v>2026-04-13 13:00:00</x:v>
      </x:c>
      <x:c r="I61" s="16" t="str">
        <x:v>2026-04-17 13:00:00</x:v>
      </x:c>
      <x:c r="J61" s="16" t="str">
        <x:v>2026-04-19 15:00:00</x:v>
      </x:c>
      <x:c r="K61" s="14" t="str">
        <x:v>Fulfilled</x:v>
      </x:c>
      <x:c r="L61" s="14" t="str">
        <x:v>Medium</x:v>
      </x:c>
      <x:c r="M61" s="18" t="n">
        <x:v>0.905</x:v>
      </x:c>
      <x:c r="N61" s="18" t="n">
        <x:v>0.171</x:v>
      </x:c>
      <x:c r="O61" s="14" t="n">
        <x:v>48</x:v>
      </x:c>
      <x:c r="P61" s="14" t="n">
        <x:v>1</x:v>
      </x:c>
      <x:c r="Q61" s="14"/>
    </x:row>
    <x:row r="62">
      <x:c r="A62" s="14" t="str">
        <x:v>P00061</x:v>
      </x:c>
      <x:c r="B62" s="14" t="str">
        <x:v>M00121</x:v>
      </x:c>
      <x:c r="C62" s="14" t="str">
        <x:v>C0001</x:v>
      </x:c>
      <x:c r="D62" s="14" t="str">
        <x:v>I will send the revised analysis by Tuesday.</x:v>
      </x:c>
      <x:c r="E62" s="14" t="str">
        <x:v>Investigation</x:v>
      </x:c>
      <x:c r="F62" s="14" t="str">
        <x:v>E024</x:v>
      </x:c>
      <x:c r="G62" s="14" t="str">
        <x:v>D008</x:v>
      </x:c>
      <x:c r="H62" s="16" t="str">
        <x:v>2026-01-05 22:00:00</x:v>
      </x:c>
      <x:c r="I62" s="16" t="str">
        <x:v>2026-01-15 22:00:00</x:v>
      </x:c>
      <x:c r="J62" s="16" t="str">
        <x:v>2026-01-16 06:00:00</x:v>
      </x:c>
      <x:c r="K62" s="14" t="str">
        <x:v>Fulfilled</x:v>
      </x:c>
      <x:c r="L62" s="14" t="str">
        <x:v>Low</x:v>
      </x:c>
      <x:c r="M62" s="18" t="n">
        <x:v>0.743</x:v>
      </x:c>
      <x:c r="N62" s="18" t="n">
        <x:v>0.229</x:v>
      </x:c>
      <x:c r="O62" s="14" t="n">
        <x:v>72</x:v>
      </x:c>
      <x:c r="P62" s="14" t="n">
        <x:v>1</x:v>
      </x:c>
      <x:c r="Q62" s="14"/>
    </x:row>
    <x:row r="63">
      <x:c r="A63" s="14" t="str">
        <x:v>P00062</x:v>
      </x:c>
      <x:c r="B63" s="14" t="str">
        <x:v>M00132</x:v>
      </x:c>
      <x:c r="C63" s="14" t="str">
        <x:v>C0012</x:v>
      </x:c>
      <x:c r="D63" s="14" t="str">
        <x:v>No action is required until finance validates the forecast.</x:v>
      </x:c>
      <x:c r="E63" s="14" t="str">
        <x:v>Customer Update</x:v>
      </x:c>
      <x:c r="F63" s="14" t="str">
        <x:v>E029</x:v>
      </x:c>
      <x:c r="G63" s="14" t="str">
        <x:v>D005</x:v>
      </x:c>
      <x:c r="H63" s="16" t="str">
        <x:v>2026-01-28 09:00:00</x:v>
      </x:c>
      <x:c r="I63" s="16" t="str">
        <x:v>2026-02-02 09:00:00</x:v>
      </x:c>
      <x:c r="J63" s="16"/>
      <x:c r="K63" s="14" t="str">
        <x:v>Overdue</x:v>
      </x:c>
      <x:c r="L63" s="14" t="str">
        <x:v>Critical</x:v>
      </x:c>
      <x:c r="M63" s="18" t="n">
        <x:v>0.884</x:v>
      </x:c>
      <x:c r="N63" s="18" t="n">
        <x:v>0.724</x:v>
      </x:c>
      <x:c r="O63" s="14" t="n">
        <x:v>120</x:v>
      </x:c>
      <x:c r="P63" s="14" t="n">
        <x:v>1</x:v>
      </x:c>
      <x:c r="Q63" s="14"/>
    </x:row>
    <x:row r="64">
      <x:c r="A64" s="14" t="str">
        <x:v>P00063</x:v>
      </x:c>
      <x:c r="B64" s="14" t="str">
        <x:v>M00143</x:v>
      </x:c>
      <x:c r="C64" s="14" t="str">
        <x:v>C0023</x:v>
      </x:c>
      <x:c r="D64" s="14" t="str">
        <x:v>The customer expects an update by end of day.</x:v>
      </x:c>
      <x:c r="E64" s="14" t="str">
        <x:v>Dependency</x:v>
      </x:c>
      <x:c r="F64" s="14" t="str">
        <x:v>E034</x:v>
      </x:c>
      <x:c r="G64" s="14" t="str">
        <x:v>D002</x:v>
      </x:c>
      <x:c r="H64" s="16" t="str">
        <x:v>2026-02-19 15:00:00</x:v>
      </x:c>
      <x:c r="I64" s="16" t="str">
        <x:v>2026-02-21 15:00:00</x:v>
      </x:c>
      <x:c r="J64" s="16"/>
      <x:c r="K64" s="14" t="str">
        <x:v>Overdue</x:v>
      </x:c>
      <x:c r="L64" s="14" t="str">
        <x:v>High</x:v>
      </x:c>
      <x:c r="M64" s="18" t="n">
        <x:v>0.823</x:v>
      </x:c>
      <x:c r="N64" s="18" t="n">
        <x:v>0.795</x:v>
      </x:c>
      <x:c r="O64" s="14" t="n">
        <x:v>96</x:v>
      </x:c>
      <x:c r="P64" s="14" t="n">
        <x:v>1</x:v>
      </x:c>
      <x:c r="Q64" s="14"/>
    </x:row>
    <x:row r="65">
      <x:c r="A65" s="14" t="str">
        <x:v>P00064</x:v>
      </x:c>
      <x:c r="B65" s="14" t="str">
        <x:v>M00154</x:v>
      </x:c>
      <x:c r="C65" s="14" t="str">
        <x:v>C0034</x:v>
      </x:c>
      <x:c r="D65" s="14" t="str">
        <x:v>Please escalate if there is no response within 48 hours.</x:v>
      </x:c>
      <x:c r="E65" s="14" t="str">
        <x:v>Deliverable</x:v>
      </x:c>
      <x:c r="F65" s="14" t="str">
        <x:v>E039</x:v>
      </x:c>
      <x:c r="G65" s="14" t="str">
        <x:v>D007</x:v>
      </x:c>
      <x:c r="H65" s="16" t="str">
        <x:v>2026-03-12 17:00:00</x:v>
      </x:c>
      <x:c r="I65" s="16" t="str">
        <x:v>2026-03-15 17:00:00</x:v>
      </x:c>
      <x:c r="J65" s="16"/>
      <x:c r="K65" s="14" t="str">
        <x:v>Cancelled</x:v>
      </x:c>
      <x:c r="L65" s="14" t="str">
        <x:v>Medium</x:v>
      </x:c>
      <x:c r="M65" s="18" t="n">
        <x:v>0.987</x:v>
      </x:c>
      <x:c r="N65" s="18" t="n">
        <x:v>0.263</x:v>
      </x:c>
      <x:c r="O65" s="14" t="n">
        <x:v>96</x:v>
      </x:c>
      <x:c r="P65" s="14" t="n">
        <x:v>1</x:v>
      </x:c>
      <x:c r="Q65" s="14"/>
    </x:row>
    <x:row r="66">
      <x:c r="A66" s="14" t="str">
        <x:v>P00065</x:v>
      </x:c>
      <x:c r="B66" s="14" t="str">
        <x:v>M00165</x:v>
      </x:c>
      <x:c r="C66" s="14" t="str">
        <x:v>C0045</x:v>
      </x:c>
      <x:c r="D66" s="14" t="str">
        <x:v>We need to reassign this because the current owner is on leave.</x:v>
      </x:c>
      <x:c r="E66" s="14" t="str">
        <x:v>Decision</x:v>
      </x:c>
      <x:c r="F66" s="14" t="str">
        <x:v>E004</x:v>
      </x:c>
      <x:c r="G66" s="14" t="str">
        <x:v>D004</x:v>
      </x:c>
      <x:c r="H66" s="16" t="str">
        <x:v>2026-04-03 22:00:00</x:v>
      </x:c>
      <x:c r="I66" s="16" t="str">
        <x:v>2026-04-08 22:00:00</x:v>
      </x:c>
      <x:c r="J66" s="16" t="str">
        <x:v>2026-04-08 04:00:00</x:v>
      </x:c>
      <x:c r="K66" s="14" t="str">
        <x:v>Fulfilled</x:v>
      </x:c>
      <x:c r="L66" s="14" t="str">
        <x:v>Low</x:v>
      </x:c>
      <x:c r="M66" s="18" t="n">
        <x:v>0.976</x:v>
      </x:c>
      <x:c r="N66" s="18" t="n">
        <x:v>0.205</x:v>
      </x:c>
      <x:c r="O66" s="14" t="n">
        <x:v>48</x:v>
      </x:c>
      <x:c r="P66" s="14" t="n">
        <x:v>1</x:v>
      </x:c>
      <x:c r="Q66" s="14"/>
    </x:row>
    <x:row r="67">
      <x:c r="A67" s="14" t="str">
        <x:v>P00066</x:v>
      </x:c>
      <x:c r="B67" s="14" t="str">
        <x:v>M00176</x:v>
      </x:c>
      <x:c r="C67" s="14" t="str">
        <x:v>C0056</x:v>
      </x:c>
      <x:c r="D67" s="14" t="str">
        <x:v>I completed the draft and attached it for review.</x:v>
      </x:c>
      <x:c r="E67" s="14" t="str">
        <x:v>Approval</x:v>
      </x:c>
      <x:c r="F67" s="14" t="str">
        <x:v>E009</x:v>
      </x:c>
      <x:c r="G67" s="14" t="str">
        <x:v>D001</x:v>
      </x:c>
      <x:c r="H67" s="16" t="str">
        <x:v>2026-04-26 07:00:00</x:v>
      </x:c>
      <x:c r="I67" s="16" t="str">
        <x:v>2026-04-28 07:00:00</x:v>
      </x:c>
      <x:c r="J67" s="16" t="str">
        <x:v>2026-04-27 11:00:00</x:v>
      </x:c>
      <x:c r="K67" s="14" t="str">
        <x:v>Fulfilled</x:v>
      </x:c>
      <x:c r="L67" s="14" t="str">
        <x:v>Critical</x:v>
      </x:c>
      <x:c r="M67" s="18" t="n">
        <x:v>0.762</x:v>
      </x:c>
      <x:c r="N67" s="18" t="n">
        <x:v>0.184</x:v>
      </x:c>
      <x:c r="O67" s="14" t="n">
        <x:v>72</x:v>
      </x:c>
      <x:c r="P67" s="14" t="n">
        <x:v>1</x:v>
      </x:c>
      <x:c r="Q67" s="14"/>
    </x:row>
    <x:row r="68">
      <x:c r="A68" s="14" t="str">
        <x:v>P00067</x:v>
      </x:c>
      <x:c r="B68" s="14" t="str">
        <x:v>M00007</x:v>
      </x:c>
      <x:c r="C68" s="14" t="str">
        <x:v>C0007</x:v>
      </x:c>
      <x:c r="D68" s="14" t="str">
        <x:v>The dependency is still blocked by vendor access.</x:v>
      </x:c>
      <x:c r="E68" s="14" t="str">
        <x:v>Follow-up</x:v>
      </x:c>
      <x:c r="F68" s="14" t="str">
        <x:v>E014</x:v>
      </x:c>
      <x:c r="G68" s="14" t="str">
        <x:v>D006</x:v>
      </x:c>
      <x:c r="H68" s="16" t="str">
        <x:v>2026-01-18 16:00:00</x:v>
      </x:c>
      <x:c r="I68" s="16" t="str">
        <x:v>2026-01-19 16:00:00</x:v>
      </x:c>
      <x:c r="J68" s="16" t="str">
        <x:v>2026-01-20 14:00:00</x:v>
      </x:c>
      <x:c r="K68" s="14" t="str">
        <x:v>Fulfilled</x:v>
      </x:c>
      <x:c r="L68" s="14" t="str">
        <x:v>High</x:v>
      </x:c>
      <x:c r="M68" s="18" t="n">
        <x:v>0.842</x:v>
      </x:c>
      <x:c r="N68" s="18" t="n">
        <x:v>0.436</x:v>
      </x:c>
      <x:c r="O68" s="14" t="n">
        <x:v>72</x:v>
      </x:c>
      <x:c r="P68" s="14" t="n">
        <x:v>1</x:v>
      </x:c>
      <x:c r="Q68" s="14"/>
    </x:row>
    <x:row r="69">
      <x:c r="A69" s="14" t="str">
        <x:v>P00068</x:v>
      </x:c>
      <x:c r="B69" s="14" t="str">
        <x:v>M00018</x:v>
      </x:c>
      <x:c r="C69" s="14" t="str">
        <x:v>C0018</x:v>
      </x:c>
      <x:c r="D69" s="14" t="str">
        <x:v>Can you confirm the owner and close the open action?</x:v>
      </x:c>
      <x:c r="E69" s="14" t="str">
        <x:v>Investigation</x:v>
      </x:c>
      <x:c r="F69" s="14" t="str">
        <x:v>E019</x:v>
      </x:c>
      <x:c r="G69" s="14" t="str">
        <x:v>D003</x:v>
      </x:c>
      <x:c r="H69" s="16" t="str">
        <x:v>2026-02-09 23:00:00</x:v>
      </x:c>
      <x:c r="I69" s="16" t="str">
        <x:v>2026-02-12 23:00:00</x:v>
      </x:c>
      <x:c r="J69" s="16" t="str">
        <x:v>2026-02-13 05:00:00</x:v>
      </x:c>
      <x:c r="K69" s="14" t="str">
        <x:v>Fulfilled</x:v>
      </x:c>
      <x:c r="L69" s="14" t="str">
        <x:v>Medium</x:v>
      </x:c>
      <x:c r="M69" s="18" t="n">
        <x:v>0.911</x:v>
      </x:c>
      <x:c r="N69" s="18" t="n">
        <x:v>0.502</x:v>
      </x:c>
      <x:c r="O69" s="14" t="n">
        <x:v>48</x:v>
      </x:c>
      <x:c r="P69" s="14" t="n">
        <x:v>1</x:v>
      </x:c>
      <x:c r="Q69" s="14"/>
    </x:row>
    <x:row r="70">
      <x:c r="A70" s="14" t="str">
        <x:v>P00069</x:v>
      </x:c>
      <x:c r="B70" s="14" t="str">
        <x:v>M00029</x:v>
      </x:c>
      <x:c r="C70" s="14" t="str">
        <x:v>C0029</x:v>
      </x:c>
      <x:c r="D70" s="14" t="str">
        <x:v>We will circle back next week with a decision.</x:v>
      </x:c>
      <x:c r="E70" s="14" t="str">
        <x:v>Customer Update</x:v>
      </x:c>
      <x:c r="F70" s="14" t="str">
        <x:v>E024</x:v>
      </x:c>
      <x:c r="G70" s="14" t="str">
        <x:v>D008</x:v>
      </x:c>
      <x:c r="H70" s="16" t="str">
        <x:v>2026-03-02 16:00:00</x:v>
      </x:c>
      <x:c r="I70" s="16" t="str">
        <x:v>2026-03-06 16:00:00</x:v>
      </x:c>
      <x:c r="J70" s="16" t="str">
        <x:v>2026-03-06 15:00:00</x:v>
      </x:c>
      <x:c r="K70" s="14" t="str">
        <x:v>Fulfilled</x:v>
      </x:c>
      <x:c r="L70" s="14" t="str">
        <x:v>Low</x:v>
      </x:c>
      <x:c r="M70" s="18" t="n">
        <x:v>0.969</x:v>
      </x:c>
      <x:c r="N70" s="18" t="n">
        <x:v>0.553</x:v>
      </x:c>
      <x:c r="O70" s="14" t="n">
        <x:v>72</x:v>
      </x:c>
      <x:c r="P70" s="14" t="n">
        <x:v>1</x:v>
      </x:c>
      <x:c r="Q70" s="14"/>
    </x:row>
    <x:row r="71">
      <x:c r="A71" s="14" t="str">
        <x:v>P00070</x:v>
      </x:c>
      <x:c r="B71" s="14" t="str">
        <x:v>M00040</x:v>
      </x:c>
      <x:c r="C71" s="14" t="str">
        <x:v>C0040</x:v>
      </x:c>
      <x:c r="D71" s="14" t="str">
        <x:v>I will get legal approval before July 31.</x:v>
      </x:c>
      <x:c r="E71" s="14" t="str">
        <x:v>Dependency</x:v>
      </x:c>
      <x:c r="F71" s="14" t="str">
        <x:v>E029</x:v>
      </x:c>
      <x:c r="G71" s="14" t="str">
        <x:v>D005</x:v>
      </x:c>
      <x:c r="H71" s="16" t="str">
        <x:v>2026-03-25 01:00:00</x:v>
      </x:c>
      <x:c r="I71" s="16" t="str">
        <x:v>2026-04-01 01:00:00</x:v>
      </x:c>
      <x:c r="J71" s="16"/>
      <x:c r="K71" s="14" t="str">
        <x:v>Overdue</x:v>
      </x:c>
      <x:c r="L71" s="14" t="str">
        <x:v>Critical</x:v>
      </x:c>
      <x:c r="M71" s="18" t="n">
        <x:v>0.937</x:v>
      </x:c>
      <x:c r="N71" s="18" t="n">
        <x:v>0.369</x:v>
      </x:c>
      <x:c r="O71" s="14" t="n">
        <x:v>120</x:v>
      </x:c>
      <x:c r="P71" s="14" t="n">
        <x:v>1</x:v>
      </x:c>
      <x:c r="Q71" s="14"/>
    </x:row>
    <x:row r="72">
      <x:c r="A72" s="14" t="str">
        <x:v>P00071</x:v>
      </x:c>
      <x:c r="B72" s="14" t="str">
        <x:v>M00051</x:v>
      </x:c>
      <x:c r="C72" s="14" t="str">
        <x:v>C0051</x:v>
      </x:c>
      <x:c r="D72" s="14" t="str">
        <x:v>Let's revisit this after the 4.2 release.</x:v>
      </x:c>
      <x:c r="E72" s="14" t="str">
        <x:v>Deliverable</x:v>
      </x:c>
      <x:c r="F72" s="14" t="str">
        <x:v>E034</x:v>
      </x:c>
      <x:c r="G72" s="14" t="str">
        <x:v>D002</x:v>
      </x:c>
      <x:c r="H72" s="16" t="str">
        <x:v>2026-04-16 09:00:00</x:v>
      </x:c>
      <x:c r="I72" s="16" t="str">
        <x:v>2026-04-17 09:00:00</x:v>
      </x:c>
      <x:c r="J72" s="16" t="str">
        <x:v>2026-04-16 22:00:00</x:v>
      </x:c>
      <x:c r="K72" s="14" t="str">
        <x:v>Fulfilled</x:v>
      </x:c>
      <x:c r="L72" s="14" t="str">
        <x:v>High</x:v>
      </x:c>
      <x:c r="M72" s="18" t="n">
        <x:v>0.965</x:v>
      </x:c>
      <x:c r="N72" s="18" t="n">
        <x:v>0.576</x:v>
      </x:c>
      <x:c r="O72" s="14" t="n">
        <x:v>96</x:v>
      </x:c>
      <x:c r="P72" s="14" t="n">
        <x:v>1</x:v>
      </x:c>
      <x:c r="Q72" s="14"/>
    </x:row>
    <x:row r="73">
      <x:c r="A73" s="14" t="str">
        <x:v>P00072</x:v>
      </x:c>
      <x:c r="B73" s="14" t="str">
        <x:v>M00062</x:v>
      </x:c>
      <x:c r="C73" s="14" t="str">
        <x:v>C0002</x:v>
      </x:c>
      <x:c r="D73" s="14" t="str">
        <x:v>Engineering will complete the fix in the next sprint.</x:v>
      </x:c>
      <x:c r="E73" s="14" t="str">
        <x:v>Decision</x:v>
      </x:c>
      <x:c r="F73" s="14" t="str">
        <x:v>E039</x:v>
      </x:c>
      <x:c r="G73" s="14" t="str">
        <x:v>D007</x:v>
      </x:c>
      <x:c r="H73" s="16" t="str">
        <x:v>2026-01-08 16:00:00</x:v>
      </x:c>
      <x:c r="I73" s="16" t="str">
        <x:v>2026-01-09 16:00:00</x:v>
      </x:c>
      <x:c r="J73" s="16" t="str">
        <x:v>2026-01-10 01:00:00</x:v>
      </x:c>
      <x:c r="K73" s="14" t="str">
        <x:v>Fulfilled</x:v>
      </x:c>
      <x:c r="L73" s="14" t="str">
        <x:v>Medium</x:v>
      </x:c>
      <x:c r="M73" s="18" t="n">
        <x:v>0.881</x:v>
      </x:c>
      <x:c r="N73" s="18" t="n">
        <x:v>0.575</x:v>
      </x:c>
      <x:c r="O73" s="14" t="n">
        <x:v>96</x:v>
      </x:c>
      <x:c r="P73" s="14" t="n">
        <x:v>1</x:v>
      </x:c>
      <x:c r="Q73" s="14"/>
    </x:row>
    <x:row r="74">
      <x:c r="A74" s="14" t="str">
        <x:v>P00073</x:v>
      </x:c>
      <x:c r="B74" s="14" t="str">
        <x:v>M00073</x:v>
      </x:c>
      <x:c r="C74" s="14" t="str">
        <x:v>C0013</x:v>
      </x:c>
      <x:c r="D74" s="14" t="str">
        <x:v>I will send the revised analysis by Friday.</x:v>
      </x:c>
      <x:c r="E74" s="14" t="str">
        <x:v>Approval</x:v>
      </x:c>
      <x:c r="F74" s="14" t="str">
        <x:v>E004</x:v>
      </x:c>
      <x:c r="G74" s="14" t="str">
        <x:v>D004</x:v>
      </x:c>
      <x:c r="H74" s="16" t="str">
        <x:v>2026-01-29 16:00:00</x:v>
      </x:c>
      <x:c r="I74" s="16" t="str">
        <x:v>2026-02-01 16:00:00</x:v>
      </x:c>
      <x:c r="J74" s="16" t="str">
        <x:v>2026-02-02 21:00:00</x:v>
      </x:c>
      <x:c r="K74" s="14" t="str">
        <x:v>Fulfilled</x:v>
      </x:c>
      <x:c r="L74" s="14" t="str">
        <x:v>Low</x:v>
      </x:c>
      <x:c r="M74" s="18" t="n">
        <x:v>0.906</x:v>
      </x:c>
      <x:c r="N74" s="18" t="n">
        <x:v>0.5</x:v>
      </x:c>
      <x:c r="O74" s="14" t="n">
        <x:v>48</x:v>
      </x:c>
      <x:c r="P74" s="14" t="n">
        <x:v>1</x:v>
      </x:c>
      <x:c r="Q74" s="14"/>
    </x:row>
    <x:row r="75">
      <x:c r="A75" s="14" t="str">
        <x:v>P00074</x:v>
      </x:c>
      <x:c r="B75" s="14" t="str">
        <x:v>M00084</x:v>
      </x:c>
      <x:c r="C75" s="14" t="str">
        <x:v>C0024</x:v>
      </x:c>
      <x:c r="D75" s="14" t="str">
        <x:v>No action is required until finance validates the forecast.</x:v>
      </x:c>
      <x:c r="E75" s="14" t="str">
        <x:v>Follow-up</x:v>
      </x:c>
      <x:c r="F75" s="14" t="str">
        <x:v>E009</x:v>
      </x:c>
      <x:c r="G75" s="14" t="str">
        <x:v>D001</x:v>
      </x:c>
      <x:c r="H75" s="16" t="str">
        <x:v>2026-02-20 19:00:00</x:v>
      </x:c>
      <x:c r="I75" s="16" t="str">
        <x:v>2026-02-23 19:00:00</x:v>
      </x:c>
      <x:c r="J75" s="16" t="str">
        <x:v>2026-02-25 04:00:00</x:v>
      </x:c>
      <x:c r="K75" s="14" t="str">
        <x:v>Fulfilled</x:v>
      </x:c>
      <x:c r="L75" s="14" t="str">
        <x:v>Critical</x:v>
      </x:c>
      <x:c r="M75" s="18" t="n">
        <x:v>0.838</x:v>
      </x:c>
      <x:c r="N75" s="18" t="n">
        <x:v>0.439</x:v>
      </x:c>
      <x:c r="O75" s="14" t="n">
        <x:v>72</x:v>
      </x:c>
      <x:c r="P75" s="14" t="n">
        <x:v>1</x:v>
      </x:c>
      <x:c r="Q75" s="14"/>
    </x:row>
    <x:row r="76">
      <x:c r="A76" s="14" t="str">
        <x:v>P00075</x:v>
      </x:c>
      <x:c r="B76" s="14" t="str">
        <x:v>M00095</x:v>
      </x:c>
      <x:c r="C76" s="14" t="str">
        <x:v>C0035</x:v>
      </x:c>
      <x:c r="D76" s="14" t="str">
        <x:v>The customer expects an update by end of day.</x:v>
      </x:c>
      <x:c r="E76" s="14" t="str">
        <x:v>Investigation</x:v>
      </x:c>
      <x:c r="F76" s="14" t="str">
        <x:v>E014</x:v>
      </x:c>
      <x:c r="G76" s="14" t="str">
        <x:v>D006</x:v>
      </x:c>
      <x:c r="H76" s="16" t="str">
        <x:v>2026-03-15 08:00:00</x:v>
      </x:c>
      <x:c r="I76" s="16" t="str">
        <x:v>2026-03-19 08:00:00</x:v>
      </x:c>
      <x:c r="J76" s="16"/>
      <x:c r="K76" s="14" t="str">
        <x:v>Overdue</x:v>
      </x:c>
      <x:c r="L76" s="14" t="str">
        <x:v>High</x:v>
      </x:c>
      <x:c r="M76" s="18" t="n">
        <x:v>0.883</x:v>
      </x:c>
      <x:c r="N76" s="18" t="n">
        <x:v>0.266</x:v>
      </x:c>
      <x:c r="O76" s="14" t="n">
        <x:v>72</x:v>
      </x:c>
      <x:c r="P76" s="14" t="n">
        <x:v>1</x:v>
      </x:c>
      <x:c r="Q76" s="14"/>
    </x:row>
    <x:row r="77">
      <x:c r="A77" s="14" t="str">
        <x:v>P00076</x:v>
      </x:c>
      <x:c r="B77" s="14" t="str">
        <x:v>M00106</x:v>
      </x:c>
      <x:c r="C77" s="14" t="str">
        <x:v>C0046</x:v>
      </x:c>
      <x:c r="D77" s="14" t="str">
        <x:v>Please escalate if there is no response within 48 hours.</x:v>
      </x:c>
      <x:c r="E77" s="14" t="str">
        <x:v>Customer Update</x:v>
      </x:c>
      <x:c r="F77" s="14" t="str">
        <x:v>E019</x:v>
      </x:c>
      <x:c r="G77" s="14" t="str">
        <x:v>D003</x:v>
      </x:c>
      <x:c r="H77" s="16" t="str">
        <x:v>2026-04-06 14:00:00</x:v>
      </x:c>
      <x:c r="I77" s="16" t="str">
        <x:v>2026-04-08 14:00:00</x:v>
      </x:c>
      <x:c r="J77" s="16"/>
      <x:c r="K77" s="14" t="str">
        <x:v>Reassigned</x:v>
      </x:c>
      <x:c r="L77" s="14" t="str">
        <x:v>Medium</x:v>
      </x:c>
      <x:c r="M77" s="18" t="n">
        <x:v>0.946</x:v>
      </x:c>
      <x:c r="N77" s="18" t="n">
        <x:v>0.425</x:v>
      </x:c>
      <x:c r="O77" s="14" t="n">
        <x:v>48</x:v>
      </x:c>
      <x:c r="P77" s="14" t="n">
        <x:v>1</x:v>
      </x:c>
      <x:c r="Q77" s="14" t="str">
        <x:v>DG004</x:v>
      </x:c>
    </x:row>
    <x:row r="78">
      <x:c r="A78" s="14" t="str">
        <x:v>P00077</x:v>
      </x:c>
      <x:c r="B78" s="14" t="str">
        <x:v>M00117</x:v>
      </x:c>
      <x:c r="C78" s="14" t="str">
        <x:v>C0057</x:v>
      </x:c>
      <x:c r="D78" s="14" t="str">
        <x:v>We need to reassign this because the current owner is on leave.</x:v>
      </x:c>
      <x:c r="E78" s="14" t="str">
        <x:v>Dependency</x:v>
      </x:c>
      <x:c r="F78" s="14" t="str">
        <x:v>E024</x:v>
      </x:c>
      <x:c r="G78" s="14" t="str">
        <x:v>D008</x:v>
      </x:c>
      <x:c r="H78" s="16" t="str">
        <x:v>2026-04-28 18:00:00</x:v>
      </x:c>
      <x:c r="I78" s="16" t="str">
        <x:v>2026-04-29 18:00:00</x:v>
      </x:c>
      <x:c r="J78" s="16"/>
      <x:c r="K78" s="14" t="str">
        <x:v>Reassigned</x:v>
      </x:c>
      <x:c r="L78" s="14" t="str">
        <x:v>Low</x:v>
      </x:c>
      <x:c r="M78" s="18" t="n">
        <x:v>0.902</x:v>
      </x:c>
      <x:c r="N78" s="18" t="n">
        <x:v>0.242</x:v>
      </x:c>
      <x:c r="O78" s="14" t="n">
        <x:v>72</x:v>
      </x:c>
      <x:c r="P78" s="14" t="n">
        <x:v>1</x:v>
      </x:c>
      <x:c r="Q78" s="14" t="str">
        <x:v>DG004</x:v>
      </x:c>
    </x:row>
    <x:row r="79">
      <x:c r="A79" s="14" t="str">
        <x:v>P00078</x:v>
      </x:c>
      <x:c r="B79" s="14" t="str">
        <x:v>M00128</x:v>
      </x:c>
      <x:c r="C79" s="14" t="str">
        <x:v>C0008</x:v>
      </x:c>
      <x:c r="D79" s="14" t="str">
        <x:v>I completed the draft and attached it for review.</x:v>
      </x:c>
      <x:c r="E79" s="14" t="str">
        <x:v>Deliverable</x:v>
      </x:c>
      <x:c r="F79" s="14" t="str">
        <x:v>E029</x:v>
      </x:c>
      <x:c r="G79" s="14" t="str">
        <x:v>D005</x:v>
      </x:c>
      <x:c r="H79" s="16" t="str">
        <x:v>2026-01-19 14:00:00</x:v>
      </x:c>
      <x:c r="I79" s="16" t="str">
        <x:v>2026-01-20 14:00:00</x:v>
      </x:c>
      <x:c r="J79" s="16"/>
      <x:c r="K79" s="14" t="str">
        <x:v>Overdue</x:v>
      </x:c>
      <x:c r="L79" s="14" t="str">
        <x:v>Critical</x:v>
      </x:c>
      <x:c r="M79" s="18" t="n">
        <x:v>0.767</x:v>
      </x:c>
      <x:c r="N79" s="18" t="n">
        <x:v>0.561</x:v>
      </x:c>
      <x:c r="O79" s="14" t="n">
        <x:v>120</x:v>
      </x:c>
      <x:c r="P79" s="14" t="n">
        <x:v>0</x:v>
      </x:c>
      <x:c r="Q79" s="14"/>
    </x:row>
    <x:row r="80">
      <x:c r="A80" s="14" t="str">
        <x:v>P00079</x:v>
      </x:c>
      <x:c r="B80" s="14" t="str">
        <x:v>M00139</x:v>
      </x:c>
      <x:c r="C80" s="14" t="str">
        <x:v>C0019</x:v>
      </x:c>
      <x:c r="D80" s="14" t="str">
        <x:v>The dependency is still blocked by vendor access.</x:v>
      </x:c>
      <x:c r="E80" s="14" t="str">
        <x:v>Decision</x:v>
      </x:c>
      <x:c r="F80" s="14" t="str">
        <x:v>E034</x:v>
      </x:c>
      <x:c r="G80" s="14" t="str">
        <x:v>D002</x:v>
      </x:c>
      <x:c r="H80" s="16" t="str">
        <x:v>2026-02-11 01:00:00</x:v>
      </x:c>
      <x:c r="I80" s="16" t="str">
        <x:v>2026-02-15 01:00:00</x:v>
      </x:c>
      <x:c r="J80" s="16"/>
      <x:c r="K80" s="14" t="str">
        <x:v>Reassigned</x:v>
      </x:c>
      <x:c r="L80" s="14" t="str">
        <x:v>High</x:v>
      </x:c>
      <x:c r="M80" s="18" t="n">
        <x:v>0.769</x:v>
      </x:c>
      <x:c r="N80" s="18" t="n">
        <x:v>0.431</x:v>
      </x:c>
      <x:c r="O80" s="14" t="n">
        <x:v>96</x:v>
      </x:c>
      <x:c r="P80" s="14" t="n">
        <x:v>0</x:v>
      </x:c>
      <x:c r="Q80" s="14"/>
    </x:row>
    <x:row r="81">
      <x:c r="A81" s="14" t="str">
        <x:v>P00080</x:v>
      </x:c>
      <x:c r="B81" s="14" t="str">
        <x:v>M00150</x:v>
      </x:c>
      <x:c r="C81" s="14" t="str">
        <x:v>C0030</x:v>
      </x:c>
      <x:c r="D81" s="14" t="str">
        <x:v>Can you confirm the owner and close the open action?</x:v>
      </x:c>
      <x:c r="E81" s="14" t="str">
        <x:v>Approval</x:v>
      </x:c>
      <x:c r="F81" s="14" t="str">
        <x:v>E039</x:v>
      </x:c>
      <x:c r="G81" s="14" t="str">
        <x:v>D007</x:v>
      </x:c>
      <x:c r="H81" s="16" t="str">
        <x:v>2026-03-05 06:00:00</x:v>
      </x:c>
      <x:c r="I81" s="16" t="str">
        <x:v>2026-03-12 06:00:00</x:v>
      </x:c>
      <x:c r="J81" s="16"/>
      <x:c r="K81" s="14" t="str">
        <x:v>Escalated</x:v>
      </x:c>
      <x:c r="L81" s="14" t="str">
        <x:v>Medium</x:v>
      </x:c>
      <x:c r="M81" s="18" t="n">
        <x:v>0.982</x:v>
      </x:c>
      <x:c r="N81" s="18" t="n">
        <x:v>0.532</x:v>
      </x:c>
      <x:c r="O81" s="14" t="n">
        <x:v>96</x:v>
      </x:c>
      <x:c r="P81" s="14" t="n">
        <x:v>1</x:v>
      </x:c>
      <x:c r="Q81" s="14"/>
    </x:row>
    <x:row r="82">
      <x:c r="A82" s="14" t="str">
        <x:v>P00081</x:v>
      </x:c>
      <x:c r="B82" s="14" t="str">
        <x:v>M00161</x:v>
      </x:c>
      <x:c r="C82" s="14" t="str">
        <x:v>C0041</x:v>
      </x:c>
      <x:c r="D82" s="14" t="str">
        <x:v>We will circle back next week with a decision.</x:v>
      </x:c>
      <x:c r="E82" s="14" t="str">
        <x:v>Follow-up</x:v>
      </x:c>
      <x:c r="F82" s="14" t="str">
        <x:v>E004</x:v>
      </x:c>
      <x:c r="G82" s="14" t="str">
        <x:v>D004</x:v>
      </x:c>
      <x:c r="H82" s="16" t="str">
        <x:v>2026-03-27 18:00:00</x:v>
      </x:c>
      <x:c r="I82" s="16" t="str">
        <x:v>2026-03-31 18:00:00</x:v>
      </x:c>
      <x:c r="J82" s="16" t="str">
        <x:v>2026-03-31 01:00:00</x:v>
      </x:c>
      <x:c r="K82" s="14" t="str">
        <x:v>Fulfilled</x:v>
      </x:c>
      <x:c r="L82" s="14" t="str">
        <x:v>Low</x:v>
      </x:c>
      <x:c r="M82" s="18" t="n">
        <x:v>0.952</x:v>
      </x:c>
      <x:c r="N82" s="18" t="n">
        <x:v>0.278</x:v>
      </x:c>
      <x:c r="O82" s="14" t="n">
        <x:v>48</x:v>
      </x:c>
      <x:c r="P82" s="14" t="n">
        <x:v>1</x:v>
      </x:c>
      <x:c r="Q82" s="14"/>
    </x:row>
    <x:row r="83">
      <x:c r="A83" s="14" t="str">
        <x:v>P00082</x:v>
      </x:c>
      <x:c r="B83" s="14" t="str">
        <x:v>M00172</x:v>
      </x:c>
      <x:c r="C83" s="14" t="str">
        <x:v>C0052</x:v>
      </x:c>
      <x:c r="D83" s="14" t="str">
        <x:v>I will get legal approval before Wednesday.</x:v>
      </x:c>
      <x:c r="E83" s="14" t="str">
        <x:v>Investigation</x:v>
      </x:c>
      <x:c r="F83" s="14" t="str">
        <x:v>E009</x:v>
      </x:c>
      <x:c r="G83" s="14" t="str">
        <x:v>D001</x:v>
      </x:c>
      <x:c r="H83" s="16" t="str">
        <x:v>2026-04-17 13:00:00</x:v>
      </x:c>
      <x:c r="I83" s="16" t="str">
        <x:v>2026-04-24 13:00:00</x:v>
      </x:c>
      <x:c r="J83" s="16" t="str">
        <x:v>2026-04-25 10:00:00</x:v>
      </x:c>
      <x:c r="K83" s="14" t="str">
        <x:v>Fulfilled</x:v>
      </x:c>
      <x:c r="L83" s="14" t="str">
        <x:v>Critical</x:v>
      </x:c>
      <x:c r="M83" s="18" t="n">
        <x:v>0.94</x:v>
      </x:c>
      <x:c r="N83" s="18" t="n">
        <x:v>0.41</x:v>
      </x:c>
      <x:c r="O83" s="14" t="n">
        <x:v>72</x:v>
      </x:c>
      <x:c r="P83" s="14" t="n">
        <x:v>1</x:v>
      </x:c>
      <x:c r="Q83" s="14"/>
    </x:row>
    <x:row r="84">
      <x:c r="A84" s="14" t="str">
        <x:v>P00083</x:v>
      </x:c>
      <x:c r="B84" s="14" t="str">
        <x:v>M00003</x:v>
      </x:c>
      <x:c r="C84" s="14" t="str">
        <x:v>C0003</x:v>
      </x:c>
      <x:c r="D84" s="14" t="str">
        <x:v>Let's revisit this after the security release.</x:v>
      </x:c>
      <x:c r="E84" s="14" t="str">
        <x:v>Customer Update</x:v>
      </x:c>
      <x:c r="F84" s="14" t="str">
        <x:v>E014</x:v>
      </x:c>
      <x:c r="G84" s="14" t="str">
        <x:v>D006</x:v>
      </x:c>
      <x:c r="H84" s="16" t="str">
        <x:v>2026-01-09 20:00:00</x:v>
      </x:c>
      <x:c r="I84" s="16" t="str">
        <x:v>2026-01-13 20:00:00</x:v>
      </x:c>
      <x:c r="J84" s="16" t="str">
        <x:v>2026-01-13 22:00:00</x:v>
      </x:c>
      <x:c r="K84" s="14" t="str">
        <x:v>Fulfilled</x:v>
      </x:c>
      <x:c r="L84" s="14" t="str">
        <x:v>High</x:v>
      </x:c>
      <x:c r="M84" s="18" t="n">
        <x:v>0.807</x:v>
      </x:c>
      <x:c r="N84" s="18" t="n">
        <x:v>0.662</x:v>
      </x:c>
      <x:c r="O84" s="14" t="n">
        <x:v>72</x:v>
      </x:c>
      <x:c r="P84" s="14" t="n">
        <x:v>0</x:v>
      </x:c>
      <x:c r="Q84" s="14"/>
    </x:row>
    <x:row r="85">
      <x:c r="A85" s="14" t="str">
        <x:v>P00084</x:v>
      </x:c>
      <x:c r="B85" s="14" t="str">
        <x:v>M00014</x:v>
      </x:c>
      <x:c r="C85" s="14" t="str">
        <x:v>C0014</x:v>
      </x:c>
      <x:c r="D85" s="14" t="str">
        <x:v>Engineering will complete the fix in the next sprint.</x:v>
      </x:c>
      <x:c r="E85" s="14" t="str">
        <x:v>Dependency</x:v>
      </x:c>
      <x:c r="F85" s="14" t="str">
        <x:v>E019</x:v>
      </x:c>
      <x:c r="G85" s="14" t="str">
        <x:v>D003</x:v>
      </x:c>
      <x:c r="H85" s="16" t="str">
        <x:v>2026-02-01 10:00:00</x:v>
      </x:c>
      <x:c r="I85" s="16" t="str">
        <x:v>2026-02-05 10:00:00</x:v>
      </x:c>
      <x:c r="J85" s="16"/>
      <x:c r="K85" s="14" t="str">
        <x:v>Cancelled</x:v>
      </x:c>
      <x:c r="L85" s="14" t="str">
        <x:v>Medium</x:v>
      </x:c>
      <x:c r="M85" s="18" t="n">
        <x:v>0.943</x:v>
      </x:c>
      <x:c r="N85" s="18" t="n">
        <x:v>0.081</x:v>
      </x:c>
      <x:c r="O85" s="14" t="n">
        <x:v>48</x:v>
      </x:c>
      <x:c r="P85" s="14" t="n">
        <x:v>1</x:v>
      </x:c>
      <x:c r="Q85" s="14"/>
    </x:row>
    <x:row r="86">
      <x:c r="A86" s="14" t="str">
        <x:v>P00085</x:v>
      </x:c>
      <x:c r="B86" s="14" t="str">
        <x:v>M00025</x:v>
      </x:c>
      <x:c r="C86" s="14" t="str">
        <x:v>C0025</x:v>
      </x:c>
      <x:c r="D86" s="14" t="str">
        <x:v>I will send the revised analysis by July 31.</x:v>
      </x:c>
      <x:c r="E86" s="14" t="str">
        <x:v>Deliverable</x:v>
      </x:c>
      <x:c r="F86" s="14" t="str">
        <x:v>E024</x:v>
      </x:c>
      <x:c r="G86" s="14" t="str">
        <x:v>D008</x:v>
      </x:c>
      <x:c r="H86" s="16" t="str">
        <x:v>2026-02-23 15:00:00</x:v>
      </x:c>
      <x:c r="I86" s="16" t="str">
        <x:v>2026-03-05 15:00:00</x:v>
      </x:c>
      <x:c r="J86" s="16" t="str">
        <x:v>2026-03-06 13:00:00</x:v>
      </x:c>
      <x:c r="K86" s="14" t="str">
        <x:v>Fulfilled</x:v>
      </x:c>
      <x:c r="L86" s="14" t="str">
        <x:v>Low</x:v>
      </x:c>
      <x:c r="M86" s="18" t="n">
        <x:v>0.735</x:v>
      </x:c>
      <x:c r="N86" s="18" t="n">
        <x:v>0.391</x:v>
      </x:c>
      <x:c r="O86" s="14" t="n">
        <x:v>72</x:v>
      </x:c>
      <x:c r="P86" s="14" t="n">
        <x:v>0</x:v>
      </x:c>
      <x:c r="Q86" s="14"/>
    </x:row>
    <x:row r="87">
      <x:c r="A87" s="14" t="str">
        <x:v>P00086</x:v>
      </x:c>
      <x:c r="B87" s="14" t="str">
        <x:v>M00036</x:v>
      </x:c>
      <x:c r="C87" s="14" t="str">
        <x:v>C0036</x:v>
      </x:c>
      <x:c r="D87" s="14" t="str">
        <x:v>No action is required until finance validates the forecast.</x:v>
      </x:c>
      <x:c r="E87" s="14" t="str">
        <x:v>Decision</x:v>
      </x:c>
      <x:c r="F87" s="14" t="str">
        <x:v>E029</x:v>
      </x:c>
      <x:c r="G87" s="14" t="str">
        <x:v>D005</x:v>
      </x:c>
      <x:c r="H87" s="16" t="str">
        <x:v>2026-03-17 18:00:00</x:v>
      </x:c>
      <x:c r="I87" s="16" t="str">
        <x:v>2026-03-22 18:00:00</x:v>
      </x:c>
      <x:c r="J87" s="16"/>
      <x:c r="K87" s="14" t="str">
        <x:v>Overdue</x:v>
      </x:c>
      <x:c r="L87" s="14" t="str">
        <x:v>Critical</x:v>
      </x:c>
      <x:c r="M87" s="18" t="n">
        <x:v>0.889</x:v>
      </x:c>
      <x:c r="N87" s="18" t="n">
        <x:v>0.706</x:v>
      </x:c>
      <x:c r="O87" s="14" t="n">
        <x:v>120</x:v>
      </x:c>
      <x:c r="P87" s="14" t="n">
        <x:v>1</x:v>
      </x:c>
      <x:c r="Q87" s="14"/>
    </x:row>
    <x:row r="88">
      <x:c r="A88" s="14" t="str">
        <x:v>P00087</x:v>
      </x:c>
      <x:c r="B88" s="14" t="str">
        <x:v>M00047</x:v>
      </x:c>
      <x:c r="C88" s="14" t="str">
        <x:v>C0047</x:v>
      </x:c>
      <x:c r="D88" s="14" t="str">
        <x:v>The customer expects an update by end of day.</x:v>
      </x:c>
      <x:c r="E88" s="14" t="str">
        <x:v>Approval</x:v>
      </x:c>
      <x:c r="F88" s="14" t="str">
        <x:v>E034</x:v>
      </x:c>
      <x:c r="G88" s="14" t="str">
        <x:v>D002</x:v>
      </x:c>
      <x:c r="H88" s="16" t="str">
        <x:v>2026-04-07 18:00:00</x:v>
      </x:c>
      <x:c r="I88" s="16" t="str">
        <x:v>2026-04-09 18:00:00</x:v>
      </x:c>
      <x:c r="J88" s="16" t="str">
        <x:v>2026-04-09 04:00:00</x:v>
      </x:c>
      <x:c r="K88" s="14" t="str">
        <x:v>Fulfilled</x:v>
      </x:c>
      <x:c r="L88" s="14" t="str">
        <x:v>High</x:v>
      </x:c>
      <x:c r="M88" s="18" t="n">
        <x:v>0.97</x:v>
      </x:c>
      <x:c r="N88" s="18" t="n">
        <x:v>0.343</x:v>
      </x:c>
      <x:c r="O88" s="14" t="n">
        <x:v>96</x:v>
      </x:c>
      <x:c r="P88" s="14" t="n">
        <x:v>1</x:v>
      </x:c>
      <x:c r="Q88" s="14"/>
    </x:row>
    <x:row r="89">
      <x:c r="A89" s="14" t="str">
        <x:v>P00088</x:v>
      </x:c>
      <x:c r="B89" s="14" t="str">
        <x:v>M00058</x:v>
      </x:c>
      <x:c r="C89" s="14" t="str">
        <x:v>C0058</x:v>
      </x:c>
      <x:c r="D89" s="14" t="str">
        <x:v>Please escalate if there is no response within 48 hours.</x:v>
      </x:c>
      <x:c r="E89" s="14" t="str">
        <x:v>Follow-up</x:v>
      </x:c>
      <x:c r="F89" s="14" t="str">
        <x:v>E039</x:v>
      </x:c>
      <x:c r="G89" s="14" t="str">
        <x:v>D007</x:v>
      </x:c>
      <x:c r="H89" s="16" t="str">
        <x:v>2026-04-29 23:00:00</x:v>
      </x:c>
      <x:c r="I89" s="16" t="str">
        <x:v>2026-05-06 23:00:00</x:v>
      </x:c>
      <x:c r="J89" s="16" t="str">
        <x:v>2026-05-05 20:00:00</x:v>
      </x:c>
      <x:c r="K89" s="14" t="str">
        <x:v>Fulfilled</x:v>
      </x:c>
      <x:c r="L89" s="14" t="str">
        <x:v>Medium</x:v>
      </x:c>
      <x:c r="M89" s="18" t="n">
        <x:v>0.983</x:v>
      </x:c>
      <x:c r="N89" s="18" t="n">
        <x:v>0.445</x:v>
      </x:c>
      <x:c r="O89" s="14" t="n">
        <x:v>96</x:v>
      </x:c>
      <x:c r="P89" s="14" t="n">
        <x:v>1</x:v>
      </x:c>
      <x:c r="Q89" s="14"/>
    </x:row>
    <x:row r="90">
      <x:c r="A90" s="14" t="str">
        <x:v>P00089</x:v>
      </x:c>
      <x:c r="B90" s="14" t="str">
        <x:v>M00069</x:v>
      </x:c>
      <x:c r="C90" s="14" t="str">
        <x:v>C0009</x:v>
      </x:c>
      <x:c r="D90" s="14" t="str">
        <x:v>We need to reassign this because the current owner is on leave.</x:v>
      </x:c>
      <x:c r="E90" s="14" t="str">
        <x:v>Investigation</x:v>
      </x:c>
      <x:c r="F90" s="14" t="str">
        <x:v>E004</x:v>
      </x:c>
      <x:c r="G90" s="14" t="str">
        <x:v>D004</x:v>
      </x:c>
      <x:c r="H90" s="16" t="str">
        <x:v>2026-01-22 09:00:00</x:v>
      </x:c>
      <x:c r="I90" s="16" t="str">
        <x:v>2026-01-24 09:00:00</x:v>
      </x:c>
      <x:c r="J90" s="16"/>
      <x:c r="K90" s="14" t="str">
        <x:v>Overdue</x:v>
      </x:c>
      <x:c r="L90" s="14" t="str">
        <x:v>Low</x:v>
      </x:c>
      <x:c r="M90" s="18" t="n">
        <x:v>0.804</x:v>
      </x:c>
      <x:c r="N90" s="18" t="n">
        <x:v>0.258</x:v>
      </x:c>
      <x:c r="O90" s="14" t="n">
        <x:v>48</x:v>
      </x:c>
      <x:c r="P90" s="14" t="n">
        <x:v>0</x:v>
      </x:c>
      <x:c r="Q90" s="14"/>
    </x:row>
    <x:row r="91">
      <x:c r="A91" s="14" t="str">
        <x:v>P00090</x:v>
      </x:c>
      <x:c r="B91" s="14" t="str">
        <x:v>M00080</x:v>
      </x:c>
      <x:c r="C91" s="14" t="str">
        <x:v>C0020</x:v>
      </x:c>
      <x:c r="D91" s="14" t="str">
        <x:v>I completed the draft and attached it for review.</x:v>
      </x:c>
      <x:c r="E91" s="14" t="str">
        <x:v>Customer Update</x:v>
      </x:c>
      <x:c r="F91" s="14" t="str">
        <x:v>E009</x:v>
      </x:c>
      <x:c r="G91" s="14" t="str">
        <x:v>D001</x:v>
      </x:c>
      <x:c r="H91" s="16" t="str">
        <x:v>2026-02-13 20:00:00</x:v>
      </x:c>
      <x:c r="I91" s="16" t="str">
        <x:v>2026-02-17 20:00:00</x:v>
      </x:c>
      <x:c r="J91" s="16" t="str">
        <x:v>2026-02-17 04:00:00</x:v>
      </x:c>
      <x:c r="K91" s="14" t="str">
        <x:v>Fulfilled</x:v>
      </x:c>
      <x:c r="L91" s="14" t="str">
        <x:v>Critical</x:v>
      </x:c>
      <x:c r="M91" s="18" t="n">
        <x:v>0.845</x:v>
      </x:c>
      <x:c r="N91" s="18" t="n">
        <x:v>0.15</x:v>
      </x:c>
      <x:c r="O91" s="14" t="n">
        <x:v>72</x:v>
      </x:c>
      <x:c r="P91" s="14" t="n">
        <x:v>1</x:v>
      </x:c>
      <x:c r="Q91" s="14"/>
    </x:row>
    <x:row r="92">
      <x:c r="A92" s="14" t="str">
        <x:v>P00091</x:v>
      </x:c>
      <x:c r="B92" s="14" t="str">
        <x:v>M00091</x:v>
      </x:c>
      <x:c r="C92" s="14" t="str">
        <x:v>C0031</x:v>
      </x:c>
      <x:c r="D92" s="14" t="str">
        <x:v>The dependency is still blocked by vendor access.</x:v>
      </x:c>
      <x:c r="E92" s="14" t="str">
        <x:v>Dependency</x:v>
      </x:c>
      <x:c r="F92" s="14" t="str">
        <x:v>E014</x:v>
      </x:c>
      <x:c r="G92" s="14" t="str">
        <x:v>D006</x:v>
      </x:c>
      <x:c r="H92" s="16" t="str">
        <x:v>2026-03-06 11:00:00</x:v>
      </x:c>
      <x:c r="I92" s="16" t="str">
        <x:v>2026-03-16 11:00:00</x:v>
      </x:c>
      <x:c r="J92" s="16" t="str">
        <x:v>2026-03-16 18:00:00</x:v>
      </x:c>
      <x:c r="K92" s="14" t="str">
        <x:v>Fulfilled</x:v>
      </x:c>
      <x:c r="L92" s="14" t="str">
        <x:v>High</x:v>
      </x:c>
      <x:c r="M92" s="18" t="n">
        <x:v>0.857</x:v>
      </x:c>
      <x:c r="N92" s="18" t="n">
        <x:v>0.244</x:v>
      </x:c>
      <x:c r="O92" s="14" t="n">
        <x:v>72</x:v>
      </x:c>
      <x:c r="P92" s="14" t="n">
        <x:v>1</x:v>
      </x:c>
      <x:c r="Q92" s="14"/>
    </x:row>
    <x:row r="93">
      <x:c r="A93" s="14" t="str">
        <x:v>P00092</x:v>
      </x:c>
      <x:c r="B93" s="14" t="str">
        <x:v>M00102</x:v>
      </x:c>
      <x:c r="C93" s="14" t="str">
        <x:v>C0042</x:v>
      </x:c>
      <x:c r="D93" s="14" t="str">
        <x:v>Can you confirm the owner and close the open action?</x:v>
      </x:c>
      <x:c r="E93" s="14" t="str">
        <x:v>Deliverable</x:v>
      </x:c>
      <x:c r="F93" s="14" t="str">
        <x:v>E019</x:v>
      </x:c>
      <x:c r="G93" s="14" t="str">
        <x:v>D003</x:v>
      </x:c>
      <x:c r="H93" s="16" t="str">
        <x:v>2026-03-28 23:00:00</x:v>
      </x:c>
      <x:c r="I93" s="16" t="str">
        <x:v>2026-04-07 23:00:00</x:v>
      </x:c>
      <x:c r="J93" s="16" t="str">
        <x:v>2026-04-09 05:00:00</x:v>
      </x:c>
      <x:c r="K93" s="14" t="str">
        <x:v>Fulfilled</x:v>
      </x:c>
      <x:c r="L93" s="14" t="str">
        <x:v>Medium</x:v>
      </x:c>
      <x:c r="M93" s="18" t="n">
        <x:v>0.786</x:v>
      </x:c>
      <x:c r="N93" s="18" t="n">
        <x:v>0.411</x:v>
      </x:c>
      <x:c r="O93" s="14" t="n">
        <x:v>48</x:v>
      </x:c>
      <x:c r="P93" s="14" t="n">
        <x:v>0</x:v>
      </x:c>
      <x:c r="Q93" s="14"/>
    </x:row>
    <x:row r="94">
      <x:c r="A94" s="14" t="str">
        <x:v>P00093</x:v>
      </x:c>
      <x:c r="B94" s="14" t="str">
        <x:v>M00113</x:v>
      </x:c>
      <x:c r="C94" s="14" t="str">
        <x:v>C0053</x:v>
      </x:c>
      <x:c r="D94" s="14" t="str">
        <x:v>We will circle back next week with a decision.</x:v>
      </x:c>
      <x:c r="E94" s="14" t="str">
        <x:v>Decision</x:v>
      </x:c>
      <x:c r="F94" s="14" t="str">
        <x:v>E024</x:v>
      </x:c>
      <x:c r="G94" s="14" t="str">
        <x:v>D008</x:v>
      </x:c>
      <x:c r="H94" s="16" t="str">
        <x:v>2026-04-20 05:00:00</x:v>
      </x:c>
      <x:c r="I94" s="16" t="str">
        <x:v>2026-04-24 05:00:00</x:v>
      </x:c>
      <x:c r="J94" s="16" t="str">
        <x:v>2026-04-26 03:00:00</x:v>
      </x:c>
      <x:c r="K94" s="14" t="str">
        <x:v>Fulfilled</x:v>
      </x:c>
      <x:c r="L94" s="14" t="str">
        <x:v>Low</x:v>
      </x:c>
      <x:c r="M94" s="18" t="n">
        <x:v>0.857</x:v>
      </x:c>
      <x:c r="N94" s="18" t="n">
        <x:v>0.608</x:v>
      </x:c>
      <x:c r="O94" s="14" t="n">
        <x:v>72</x:v>
      </x:c>
      <x:c r="P94" s="14" t="n">
        <x:v>1</x:v>
      </x:c>
      <x:c r="Q94" s="14"/>
    </x:row>
    <x:row r="95">
      <x:c r="A95" s="14" t="str">
        <x:v>P00094</x:v>
      </x:c>
      <x:c r="B95" s="14" t="str">
        <x:v>M00124</x:v>
      </x:c>
      <x:c r="C95" s="14" t="str">
        <x:v>C0004</x:v>
      </x:c>
      <x:c r="D95" s="14" t="str">
        <x:v>I will get legal approval before end of week.</x:v>
      </x:c>
      <x:c r="E95" s="14" t="str">
        <x:v>Approval</x:v>
      </x:c>
      <x:c r="F95" s="14" t="str">
        <x:v>E029</x:v>
      </x:c>
      <x:c r="G95" s="14" t="str">
        <x:v>D005</x:v>
      </x:c>
      <x:c r="H95" s="16" t="str">
        <x:v>2026-01-12 15:00:00</x:v>
      </x:c>
      <x:c r="I95" s="16" t="str">
        <x:v>2026-01-22 15:00:00</x:v>
      </x:c>
      <x:c r="J95" s="16" t="str">
        <x:v>2026-01-23 14:00:00</x:v>
      </x:c>
      <x:c r="K95" s="14" t="str">
        <x:v>Fulfilled</x:v>
      </x:c>
      <x:c r="L95" s="14" t="str">
        <x:v>Critical</x:v>
      </x:c>
      <x:c r="M95" s="18" t="n">
        <x:v>0.812</x:v>
      </x:c>
      <x:c r="N95" s="18" t="n">
        <x:v>0.553</x:v>
      </x:c>
      <x:c r="O95" s="14" t="n">
        <x:v>120</x:v>
      </x:c>
      <x:c r="P95" s="14" t="n">
        <x:v>0</x:v>
      </x:c>
      <x:c r="Q95" s="14"/>
    </x:row>
    <x:row r="96">
      <x:c r="A96" s="14" t="str">
        <x:v>P00095</x:v>
      </x:c>
      <x:c r="B96" s="14" t="str">
        <x:v>M00135</x:v>
      </x:c>
      <x:c r="C96" s="14" t="str">
        <x:v>C0015</x:v>
      </x:c>
      <x:c r="D96" s="14" t="str">
        <x:v>Let's revisit this after the production release.</x:v>
      </x:c>
      <x:c r="E96" s="14" t="str">
        <x:v>Follow-up</x:v>
      </x:c>
      <x:c r="F96" s="14" t="str">
        <x:v>E034</x:v>
      </x:c>
      <x:c r="G96" s="14" t="str">
        <x:v>D002</x:v>
      </x:c>
      <x:c r="H96" s="16" t="str">
        <x:v>2026-02-03 19:00:00</x:v>
      </x:c>
      <x:c r="I96" s="16" t="str">
        <x:v>2026-02-06 19:00:00</x:v>
      </x:c>
      <x:c r="J96" s="16"/>
      <x:c r="K96" s="14" t="str">
        <x:v>Escalated</x:v>
      </x:c>
      <x:c r="L96" s="14" t="str">
        <x:v>High</x:v>
      </x:c>
      <x:c r="M96" s="18" t="n">
        <x:v>0.796</x:v>
      </x:c>
      <x:c r="N96" s="18" t="n">
        <x:v>0.429</x:v>
      </x:c>
      <x:c r="O96" s="14" t="n">
        <x:v>96</x:v>
      </x:c>
      <x:c r="P96" s="14" t="n">
        <x:v>0</x:v>
      </x:c>
      <x:c r="Q96" s="14"/>
    </x:row>
    <x:row r="97">
      <x:c r="A97" s="14" t="str">
        <x:v>P00096</x:v>
      </x:c>
      <x:c r="B97" s="14" t="str">
        <x:v>M00146</x:v>
      </x:c>
      <x:c r="C97" s="14" t="str">
        <x:v>C0026</x:v>
      </x:c>
      <x:c r="D97" s="14" t="str">
        <x:v>Engineering will complete the fix in the next sprint.</x:v>
      </x:c>
      <x:c r="E97" s="14" t="str">
        <x:v>Investigation</x:v>
      </x:c>
      <x:c r="F97" s="14" t="str">
        <x:v>E039</x:v>
      </x:c>
      <x:c r="G97" s="14" t="str">
        <x:v>D007</x:v>
      </x:c>
      <x:c r="H97" s="16" t="str">
        <x:v>2026-02-24 18:00:00</x:v>
      </x:c>
      <x:c r="I97" s="16" t="str">
        <x:v>2026-03-01 18:00:00</x:v>
      </x:c>
      <x:c r="J97" s="16" t="str">
        <x:v>2026-03-03 02:00:00</x:v>
      </x:c>
      <x:c r="K97" s="14" t="str">
        <x:v>Fulfilled</x:v>
      </x:c>
      <x:c r="L97" s="14" t="str">
        <x:v>Medium</x:v>
      </x:c>
      <x:c r="M97" s="18" t="n">
        <x:v>0.954</x:v>
      </x:c>
      <x:c r="N97" s="18" t="n">
        <x:v>0.348</x:v>
      </x:c>
      <x:c r="O97" s="14" t="n">
        <x:v>96</x:v>
      </x:c>
      <x:c r="P97" s="14" t="n">
        <x:v>1</x:v>
      </x:c>
      <x:c r="Q97" s="14"/>
    </x:row>
    <x:row r="98">
      <x:c r="A98" s="14" t="str">
        <x:v>P00097</x:v>
      </x:c>
      <x:c r="B98" s="14" t="str">
        <x:v>M00157</x:v>
      </x:c>
      <x:c r="C98" s="14" t="str">
        <x:v>C0037</x:v>
      </x:c>
      <x:c r="D98" s="14" t="str">
        <x:v>I will send the revised analysis by Wednesday.</x:v>
      </x:c>
      <x:c r="E98" s="14" t="str">
        <x:v>Customer Update</x:v>
      </x:c>
      <x:c r="F98" s="14" t="str">
        <x:v>E004</x:v>
      </x:c>
      <x:c r="G98" s="14" t="str">
        <x:v>D004</x:v>
      </x:c>
      <x:c r="H98" s="16" t="str">
        <x:v>2026-07-01 09:00:00</x:v>
      </x:c>
      <x:c r="I98" s="16" t="str">
        <x:v>2026-07-06 09:00:00</x:v>
      </x:c>
      <x:c r="J98" s="16"/>
      <x:c r="K98" s="14" t="str">
        <x:v>In Progress</x:v>
      </x:c>
      <x:c r="L98" s="14" t="str">
        <x:v>Low</x:v>
      </x:c>
      <x:c r="M98" s="18" t="n">
        <x:v>0.926</x:v>
      </x:c>
      <x:c r="N98" s="18" t="n">
        <x:v>0.157</x:v>
      </x:c>
      <x:c r="O98" s="14" t="n">
        <x:v>48</x:v>
      </x:c>
      <x:c r="P98" s="14" t="n">
        <x:v>1</x:v>
      </x:c>
      <x:c r="Q98" s="14"/>
    </x:row>
    <x:row r="99">
      <x:c r="A99" s="14" t="str">
        <x:v>P00098</x:v>
      </x:c>
      <x:c r="B99" s="14" t="str">
        <x:v>M00168</x:v>
      </x:c>
      <x:c r="C99" s="14" t="str">
        <x:v>C0048</x:v>
      </x:c>
      <x:c r="D99" s="14" t="str">
        <x:v>No action is required until finance validates the forecast.</x:v>
      </x:c>
      <x:c r="E99" s="14" t="str">
        <x:v>Dependency</x:v>
      </x:c>
      <x:c r="F99" s="14" t="str">
        <x:v>E009</x:v>
      </x:c>
      <x:c r="G99" s="14" t="str">
        <x:v>D001</x:v>
      </x:c>
      <x:c r="H99" s="16" t="str">
        <x:v>2026-07-01 10:00:00</x:v>
      </x:c>
      <x:c r="I99" s="16" t="str">
        <x:v>2026-07-11 10:00:00</x:v>
      </x:c>
      <x:c r="J99" s="16"/>
      <x:c r="K99" s="14" t="str">
        <x:v>Open</x:v>
      </x:c>
      <x:c r="L99" s="14" t="str">
        <x:v>Critical</x:v>
      </x:c>
      <x:c r="M99" s="18" t="n">
        <x:v>0.985</x:v>
      </x:c>
      <x:c r="N99" s="18" t="n">
        <x:v>0.643</x:v>
      </x:c>
      <x:c r="O99" s="14" t="n">
        <x:v>72</x:v>
      </x:c>
      <x:c r="P99" s="14" t="n">
        <x:v>1</x:v>
      </x:c>
      <x:c r="Q99" s="14"/>
    </x:row>
    <x:row r="100">
      <x:c r="A100" s="14" t="str">
        <x:v>P00099</x:v>
      </x:c>
      <x:c r="B100" s="14" t="str">
        <x:v>M00179</x:v>
      </x:c>
      <x:c r="C100" s="14" t="str">
        <x:v>C0059</x:v>
      </x:c>
      <x:c r="D100" s="14" t="str">
        <x:v>The customer expects an update by end of day.</x:v>
      </x:c>
      <x:c r="E100" s="14" t="str">
        <x:v>Deliverable</x:v>
      </x:c>
      <x:c r="F100" s="14" t="str">
        <x:v>E014</x:v>
      </x:c>
      <x:c r="G100" s="14" t="str">
        <x:v>D006</x:v>
      </x:c>
      <x:c r="H100" s="16" t="str">
        <x:v>2026-07-02 11:00:00</x:v>
      </x:c>
      <x:c r="I100" s="16" t="str">
        <x:v>2026-07-06 11:00:00</x:v>
      </x:c>
      <x:c r="J100" s="16"/>
      <x:c r="K100" s="14" t="str">
        <x:v>Open</x:v>
      </x:c>
      <x:c r="L100" s="14" t="str">
        <x:v>High</x:v>
      </x:c>
      <x:c r="M100" s="18" t="n">
        <x:v>0.732</x:v>
      </x:c>
      <x:c r="N100" s="18" t="n">
        <x:v>0.415</x:v>
      </x:c>
      <x:c r="O100" s="14" t="n">
        <x:v>72</x:v>
      </x:c>
      <x:c r="P100" s="14" t="n">
        <x:v>0</x:v>
      </x:c>
      <x:c r="Q100" s="14"/>
    </x:row>
    <x:row r="101">
      <x:c r="A101" s="14" t="str">
        <x:v>P00100</x:v>
      </x:c>
      <x:c r="B101" s="14" t="str">
        <x:v>M00010</x:v>
      </x:c>
      <x:c r="C101" s="14" t="str">
        <x:v>C0010</x:v>
      </x:c>
      <x:c r="D101" s="14" t="str">
        <x:v>Please escalate if there is no response within 48 hours.</x:v>
      </x:c>
      <x:c r="E101" s="14" t="str">
        <x:v>Decision</x:v>
      </x:c>
      <x:c r="F101" s="14" t="str">
        <x:v>E019</x:v>
      </x:c>
      <x:c r="G101" s="14" t="str">
        <x:v>D003</x:v>
      </x:c>
      <x:c r="H101" s="16" t="str">
        <x:v>2026-07-02 12:00:00</x:v>
      </x:c>
      <x:c r="I101" s="16" t="str">
        <x:v>2026-07-12 12:00:00</x:v>
      </x:c>
      <x:c r="J101" s="16"/>
      <x:c r="K101" s="14" t="str">
        <x:v>In Progress</x:v>
      </x:c>
      <x:c r="L101" s="14" t="str">
        <x:v>Medium</x:v>
      </x:c>
      <x:c r="M101" s="18" t="n">
        <x:v>0.823</x:v>
      </x:c>
      <x:c r="N101" s="18" t="n">
        <x:v>0.555</x:v>
      </x:c>
      <x:c r="O101" s="14" t="n">
        <x:v>48</x:v>
      </x:c>
      <x:c r="P101" s="14" t="n">
        <x:v>1</x:v>
      </x:c>
      <x:c r="Q101" s="14"/>
    </x:row>
    <x:row r="102">
      <x:c r="A102" s="14" t="str">
        <x:v>P00101</x:v>
      </x:c>
      <x:c r="B102" s="14" t="str">
        <x:v>M00021</x:v>
      </x:c>
      <x:c r="C102" s="14" t="str">
        <x:v>C0021</x:v>
      </x:c>
      <x:c r="D102" s="14" t="str">
        <x:v>We need to reassign this because the current owner is on leave.</x:v>
      </x:c>
      <x:c r="E102" s="14" t="str">
        <x:v>Approval</x:v>
      </x:c>
      <x:c r="F102" s="14" t="str">
        <x:v>E024</x:v>
      </x:c>
      <x:c r="G102" s="14" t="str">
        <x:v>D008</x:v>
      </x:c>
      <x:c r="H102" s="16" t="str">
        <x:v>2026-07-03 13:00:00</x:v>
      </x:c>
      <x:c r="I102" s="16" t="str">
        <x:v>2026-07-17 13:00:00</x:v>
      </x:c>
      <x:c r="J102" s="16"/>
      <x:c r="K102" s="14" t="str">
        <x:v>Open</x:v>
      </x:c>
      <x:c r="L102" s="14" t="str">
        <x:v>Low</x:v>
      </x:c>
      <x:c r="M102" s="18" t="n">
        <x:v>0.985</x:v>
      </x:c>
      <x:c r="N102" s="18" t="n">
        <x:v>0.157</x:v>
      </x:c>
      <x:c r="O102" s="14" t="n">
        <x:v>72</x:v>
      </x:c>
      <x:c r="P102" s="14" t="n">
        <x:v>1</x:v>
      </x:c>
      <x:c r="Q102" s="14" t="str">
        <x:v>DG005</x:v>
      </x:c>
    </x:row>
    <x:row r="103">
      <x:c r="A103" s="14" t="str">
        <x:v>P00102</x:v>
      </x:c>
      <x:c r="B103" s="14" t="str">
        <x:v>M00032</x:v>
      </x:c>
      <x:c r="C103" s="14" t="str">
        <x:v>C0032</x:v>
      </x:c>
      <x:c r="D103" s="14" t="str">
        <x:v>I completed the draft and attached it for review.</x:v>
      </x:c>
      <x:c r="E103" s="14" t="str">
        <x:v>Follow-up</x:v>
      </x:c>
      <x:c r="F103" s="14" t="str">
        <x:v>E029</x:v>
      </x:c>
      <x:c r="G103" s="14" t="str">
        <x:v>D005</x:v>
      </x:c>
      <x:c r="H103" s="16" t="str">
        <x:v>2026-07-03 14:00:00</x:v>
      </x:c>
      <x:c r="I103" s="16" t="str">
        <x:v>2026-07-13 14:00:00</x:v>
      </x:c>
      <x:c r="J103" s="16"/>
      <x:c r="K103" s="14" t="str">
        <x:v>Open</x:v>
      </x:c>
      <x:c r="L103" s="14" t="str">
        <x:v>Critical</x:v>
      </x:c>
      <x:c r="M103" s="18" t="n">
        <x:v>0.81</x:v>
      </x:c>
      <x:c r="N103" s="18" t="n">
        <x:v>0.577</x:v>
      </x:c>
      <x:c r="O103" s="14" t="n">
        <x:v>120</x:v>
      </x:c>
      <x:c r="P103" s="14" t="n">
        <x:v>0</x:v>
      </x:c>
      <x:c r="Q103" s="14" t="str">
        <x:v>DG005</x:v>
      </x:c>
    </x:row>
    <x:row r="104">
      <x:c r="A104" s="14" t="str">
        <x:v>P00103</x:v>
      </x:c>
      <x:c r="B104" s="14" t="str">
        <x:v>M00043</x:v>
      </x:c>
      <x:c r="C104" s="14" t="str">
        <x:v>C0043</x:v>
      </x:c>
      <x:c r="D104" s="14" t="str">
        <x:v>The dependency is still blocked by vendor access.</x:v>
      </x:c>
      <x:c r="E104" s="14" t="str">
        <x:v>Investigation</x:v>
      </x:c>
      <x:c r="F104" s="14" t="str">
        <x:v>E034</x:v>
      </x:c>
      <x:c r="G104" s="14" t="str">
        <x:v>D002</x:v>
      </x:c>
      <x:c r="H104" s="16" t="str">
        <x:v>2026-07-04 09:00:00</x:v>
      </x:c>
      <x:c r="I104" s="16" t="str">
        <x:v>2026-07-14 09:00:00</x:v>
      </x:c>
      <x:c r="J104" s="16"/>
      <x:c r="K104" s="14" t="str">
        <x:v>In Progress</x:v>
      </x:c>
      <x:c r="L104" s="14" t="str">
        <x:v>High</x:v>
      </x:c>
      <x:c r="M104" s="18" t="n">
        <x:v>0.966</x:v>
      </x:c>
      <x:c r="N104" s="18" t="n">
        <x:v>0.678</x:v>
      </x:c>
      <x:c r="O104" s="14" t="n">
        <x:v>96</x:v>
      </x:c>
      <x:c r="P104" s="14" t="n">
        <x:v>1</x:v>
      </x:c>
      <x:c r="Q104" s="14"/>
    </x:row>
    <x:row r="105">
      <x:c r="A105" s="14" t="str">
        <x:v>P00104</x:v>
      </x:c>
      <x:c r="B105" s="14" t="str">
        <x:v>M00054</x:v>
      </x:c>
      <x:c r="C105" s="14" t="str">
        <x:v>C0054</x:v>
      </x:c>
      <x:c r="D105" s="14" t="str">
        <x:v>Can you confirm the owner and close the open action?</x:v>
      </x:c>
      <x:c r="E105" s="14" t="str">
        <x:v>Customer Update</x:v>
      </x:c>
      <x:c r="F105" s="14" t="str">
        <x:v>E039</x:v>
      </x:c>
      <x:c r="G105" s="14" t="str">
        <x:v>D007</x:v>
      </x:c>
      <x:c r="H105" s="16" t="str">
        <x:v>2026-07-04 10:00:00</x:v>
      </x:c>
      <x:c r="I105" s="16" t="str">
        <x:v>2026-07-11 10:00:00</x:v>
      </x:c>
      <x:c r="J105" s="16"/>
      <x:c r="K105" s="14" t="str">
        <x:v>Open</x:v>
      </x:c>
      <x:c r="L105" s="14" t="str">
        <x:v>Medium</x:v>
      </x:c>
      <x:c r="M105" s="18" t="n">
        <x:v>0.74</x:v>
      </x:c>
      <x:c r="N105" s="18" t="n">
        <x:v>0.136</x:v>
      </x:c>
      <x:c r="O105" s="14" t="n">
        <x:v>96</x:v>
      </x:c>
      <x:c r="P105" s="14" t="n">
        <x:v>0</x:v>
      </x:c>
      <x:c r="Q105" s="14"/>
    </x:row>
    <x:row r="106">
      <x:c r="A106" s="14" t="str">
        <x:v>P00105</x:v>
      </x:c>
      <x:c r="B106" s="14" t="str">
        <x:v>M00065</x:v>
      </x:c>
      <x:c r="C106" s="14" t="str">
        <x:v>C0005</x:v>
      </x:c>
      <x:c r="D106" s="14" t="str">
        <x:v>We will circle back next week with a decision.</x:v>
      </x:c>
      <x:c r="E106" s="14" t="str">
        <x:v>Dependency</x:v>
      </x:c>
      <x:c r="F106" s="14" t="str">
        <x:v>E004</x:v>
      </x:c>
      <x:c r="G106" s="14" t="str">
        <x:v>D004</x:v>
      </x:c>
      <x:c r="H106" s="16" t="str">
        <x:v>2026-07-05 11:00:00</x:v>
      </x:c>
      <x:c r="I106" s="16" t="str">
        <x:v>2026-07-15 11:00:00</x:v>
      </x:c>
      <x:c r="J106" s="16"/>
      <x:c r="K106" s="14" t="str">
        <x:v>Open</x:v>
      </x:c>
      <x:c r="L106" s="14" t="str">
        <x:v>Low</x:v>
      </x:c>
      <x:c r="M106" s="18" t="n">
        <x:v>0.895</x:v>
      </x:c>
      <x:c r="N106" s="18" t="n">
        <x:v>0.334</x:v>
      </x:c>
      <x:c r="O106" s="14" t="n">
        <x:v>48</x:v>
      </x:c>
      <x:c r="P106" s="14" t="n">
        <x:v>1</x:v>
      </x:c>
      <x:c r="Q106" s="14"/>
    </x:row>
    <x:row r="107">
      <x:c r="A107" s="14" t="str">
        <x:v>P00106</x:v>
      </x:c>
      <x:c r="B107" s="14" t="str">
        <x:v>M00076</x:v>
      </x:c>
      <x:c r="C107" s="14" t="str">
        <x:v>C0016</x:v>
      </x:c>
      <x:c r="D107" s="14" t="str">
        <x:v>I will get legal approval before Tuesday.</x:v>
      </x:c>
      <x:c r="E107" s="14" t="str">
        <x:v>Deliverable</x:v>
      </x:c>
      <x:c r="F107" s="14" t="str">
        <x:v>E009</x:v>
      </x:c>
      <x:c r="G107" s="14" t="str">
        <x:v>D001</x:v>
      </x:c>
      <x:c r="H107" s="16" t="str">
        <x:v>2026-07-05 12:00:00</x:v>
      </x:c>
      <x:c r="I107" s="16" t="str">
        <x:v>2026-07-09 12:00:00</x:v>
      </x:c>
      <x:c r="J107" s="16"/>
      <x:c r="K107" s="14" t="str">
        <x:v>In Progress</x:v>
      </x:c>
      <x:c r="L107" s="14" t="str">
        <x:v>Critical</x:v>
      </x:c>
      <x:c r="M107" s="18" t="n">
        <x:v>0.864</x:v>
      </x:c>
      <x:c r="N107" s="18" t="n">
        <x:v>0.091</x:v>
      </x:c>
      <x:c r="O107" s="14" t="n">
        <x:v>72</x:v>
      </x:c>
      <x:c r="P107" s="14" t="n">
        <x:v>1</x:v>
      </x:c>
      <x:c r="Q107" s="14"/>
    </x:row>
    <x:row r="108">
      <x:c r="A108" s="14" t="str">
        <x:v>P00107</x:v>
      </x:c>
      <x:c r="B108" s="14" t="str">
        <x:v>M00087</x:v>
      </x:c>
      <x:c r="C108" s="14" t="str">
        <x:v>C0027</x:v>
      </x:c>
      <x:c r="D108" s="14" t="str">
        <x:v>Let's revisit this after the pilot release.</x:v>
      </x:c>
      <x:c r="E108" s="14" t="str">
        <x:v>Decision</x:v>
      </x:c>
      <x:c r="F108" s="14" t="str">
        <x:v>E014</x:v>
      </x:c>
      <x:c r="G108" s="14" t="str">
        <x:v>D006</x:v>
      </x:c>
      <x:c r="H108" s="16" t="str">
        <x:v>2026-07-06 13:00:00</x:v>
      </x:c>
      <x:c r="I108" s="16" t="str">
        <x:v>2026-07-10 13:00:00</x:v>
      </x:c>
      <x:c r="J108" s="16"/>
      <x:c r="K108" s="14" t="str">
        <x:v>Open</x:v>
      </x:c>
      <x:c r="L108" s="14" t="str">
        <x:v>High</x:v>
      </x:c>
      <x:c r="M108" s="18" t="n">
        <x:v>0.925</x:v>
      </x:c>
      <x:c r="N108" s="18" t="n">
        <x:v>0.188</x:v>
      </x:c>
      <x:c r="O108" s="14" t="n">
        <x:v>72</x:v>
      </x:c>
      <x:c r="P108" s="14" t="n">
        <x:v>1</x:v>
      </x:c>
      <x:c r="Q108" s="14"/>
    </x:row>
    <x:row r="109">
      <x:c r="A109" s="14" t="str">
        <x:v>P00108</x:v>
      </x:c>
      <x:c r="B109" s="14" t="str">
        <x:v>M00098</x:v>
      </x:c>
      <x:c r="C109" s="14" t="str">
        <x:v>C0038</x:v>
      </x:c>
      <x:c r="D109" s="14" t="str">
        <x:v>Engineering will complete the fix in the next sprint.</x:v>
      </x:c>
      <x:c r="E109" s="14" t="str">
        <x:v>Approval</x:v>
      </x:c>
      <x:c r="F109" s="14" t="str">
        <x:v>E019</x:v>
      </x:c>
      <x:c r="G109" s="14" t="str">
        <x:v>D003</x:v>
      </x:c>
      <x:c r="H109" s="16" t="str">
        <x:v>2026-07-06 14:00:00</x:v>
      </x:c>
      <x:c r="I109" s="16" t="str">
        <x:v>2026-07-09 14:00:00</x:v>
      </x:c>
      <x:c r="J109" s="16"/>
      <x:c r="K109" s="14" t="str">
        <x:v>Open</x:v>
      </x:c>
      <x:c r="L109" s="14" t="str">
        <x:v>Medium</x:v>
      </x:c>
      <x:c r="M109" s="18" t="n">
        <x:v>0.783</x:v>
      </x:c>
      <x:c r="N109" s="18" t="n">
        <x:v>0.285</x:v>
      </x:c>
      <x:c r="O109" s="14" t="n">
        <x:v>48</x:v>
      </x:c>
      <x:c r="P109" s="14" t="n">
        <x:v>0</x:v>
      </x:c>
      <x:c r="Q109" s="14"/>
    </x:row>
    <x:row r="110">
      <x:c r="A110" s="14" t="str">
        <x:v>P00109</x:v>
      </x:c>
      <x:c r="B110" s="14" t="str">
        <x:v>M00109</x:v>
      </x:c>
      <x:c r="C110" s="14" t="str">
        <x:v>C0049</x:v>
      </x:c>
      <x:c r="D110" s="14" t="str">
        <x:v>I will send the revised analysis by end of week.</x:v>
      </x:c>
      <x:c r="E110" s="14" t="str">
        <x:v>Follow-up</x:v>
      </x:c>
      <x:c r="F110" s="14" t="str">
        <x:v>E024</x:v>
      </x:c>
      <x:c r="G110" s="14" t="str">
        <x:v>D008</x:v>
      </x:c>
      <x:c r="H110" s="16" t="str">
        <x:v>2026-07-07 09:00:00</x:v>
      </x:c>
      <x:c r="I110" s="16" t="str">
        <x:v>2026-07-21 09:00:00</x:v>
      </x:c>
      <x:c r="J110" s="16"/>
      <x:c r="K110" s="14" t="str">
        <x:v>In Progress</x:v>
      </x:c>
      <x:c r="L110" s="14" t="str">
        <x:v>Low</x:v>
      </x:c>
      <x:c r="M110" s="18" t="n">
        <x:v>0.922</x:v>
      </x:c>
      <x:c r="N110" s="18" t="n">
        <x:v>0.372</x:v>
      </x:c>
      <x:c r="O110" s="14" t="n">
        <x:v>72</x:v>
      </x:c>
      <x:c r="P110" s="14" t="n">
        <x:v>1</x:v>
      </x:c>
      <x:c r="Q110" s="14"/>
    </x:row>
    <x:row r="111">
      <x:c r="A111" s="14" t="str">
        <x:v>P00110</x:v>
      </x:c>
      <x:c r="B111" s="14" t="str">
        <x:v>M00120</x:v>
      </x:c>
      <x:c r="C111" s="14" t="str">
        <x:v>C0060</x:v>
      </x:c>
      <x:c r="D111" s="14" t="str">
        <x:v>No action is required until finance validates the forecast.</x:v>
      </x:c>
      <x:c r="E111" s="14" t="str">
        <x:v>Investigation</x:v>
      </x:c>
      <x:c r="F111" s="14" t="str">
        <x:v>E029</x:v>
      </x:c>
      <x:c r="G111" s="14" t="str">
        <x:v>D005</x:v>
      </x:c>
      <x:c r="H111" s="16" t="str">
        <x:v>2026-07-07 10:00:00</x:v>
      </x:c>
      <x:c r="I111" s="16" t="str">
        <x:v>2026-07-10 10:00:00</x:v>
      </x:c>
      <x:c r="J111" s="16"/>
      <x:c r="K111" s="14" t="str">
        <x:v>Open</x:v>
      </x:c>
      <x:c r="L111" s="14" t="str">
        <x:v>Critical</x:v>
      </x:c>
      <x:c r="M111" s="18" t="n">
        <x:v>0.91</x:v>
      </x:c>
      <x:c r="N111" s="18" t="n">
        <x:v>0.68</x:v>
      </x:c>
      <x:c r="O111" s="14" t="n">
        <x:v>120</x:v>
      </x:c>
      <x:c r="P111" s="14" t="n">
        <x:v>1</x:v>
      </x:c>
      <x:c r="Q111" s="14"/>
    </x:row>
    <x:row r="112">
      <x:c r="A112" s="14" t="str">
        <x:v>P00111</x:v>
      </x:c>
      <x:c r="B112" s="14" t="str">
        <x:v>M00131</x:v>
      </x:c>
      <x:c r="C112" s="14" t="str">
        <x:v>C0011</x:v>
      </x:c>
      <x:c r="D112" s="14" t="str">
        <x:v>The customer expects an update by end of day.</x:v>
      </x:c>
      <x:c r="E112" s="14" t="str">
        <x:v>Customer Update</x:v>
      </x:c>
      <x:c r="F112" s="14" t="str">
        <x:v>E034</x:v>
      </x:c>
      <x:c r="G112" s="14" t="str">
        <x:v>D002</x:v>
      </x:c>
      <x:c r="H112" s="16" t="str">
        <x:v>2026-07-08 11:00:00</x:v>
      </x:c>
      <x:c r="I112" s="16" t="str">
        <x:v>2026-07-11 11:00:00</x:v>
      </x:c>
      <x:c r="J112" s="16"/>
      <x:c r="K112" s="14" t="str">
        <x:v>Open</x:v>
      </x:c>
      <x:c r="L112" s="14" t="str">
        <x:v>High</x:v>
      </x:c>
      <x:c r="M112" s="18" t="n">
        <x:v>0.964</x:v>
      </x:c>
      <x:c r="N112" s="18" t="n">
        <x:v>0.126</x:v>
      </x:c>
      <x:c r="O112" s="14" t="n">
        <x:v>96</x:v>
      </x:c>
      <x:c r="P112" s="14" t="n">
        <x:v>1</x:v>
      </x:c>
      <x:c r="Q112" s="14"/>
    </x:row>
    <x:row r="113">
      <x:c r="A113" s="14" t="str">
        <x:v>P00112</x:v>
      </x:c>
      <x:c r="B113" s="14" t="str">
        <x:v>M00142</x:v>
      </x:c>
      <x:c r="C113" s="14" t="str">
        <x:v>C0022</x:v>
      </x:c>
      <x:c r="D113" s="14" t="str">
        <x:v>Please escalate if there is no response within 48 hours.</x:v>
      </x:c>
      <x:c r="E113" s="14" t="str">
        <x:v>Dependency</x:v>
      </x:c>
      <x:c r="F113" s="14" t="str">
        <x:v>E039</x:v>
      </x:c>
      <x:c r="G113" s="14" t="str">
        <x:v>D007</x:v>
      </x:c>
      <x:c r="H113" s="16" t="str">
        <x:v>2026-07-08 12:00:00</x:v>
      </x:c>
      <x:c r="I113" s="16" t="str">
        <x:v>2026-07-22 12:00:00</x:v>
      </x:c>
      <x:c r="J113" s="16"/>
      <x:c r="K113" s="14" t="str">
        <x:v>In Progress</x:v>
      </x:c>
      <x:c r="L113" s="14" t="str">
        <x:v>Medium</x:v>
      </x:c>
      <x:c r="M113" s="18" t="n">
        <x:v>0.821</x:v>
      </x:c>
      <x:c r="N113" s="18" t="n">
        <x:v>0.553</x:v>
      </x:c>
      <x:c r="O113" s="14" t="n">
        <x:v>96</x:v>
      </x:c>
      <x:c r="P113" s="14" t="n">
        <x:v>1</x:v>
      </x:c>
      <x:c r="Q113" s="14"/>
    </x:row>
    <x:row r="114">
      <x:c r="A114" s="14" t="str">
        <x:v>P00113</x:v>
      </x:c>
      <x:c r="B114" s="14" t="str">
        <x:v>M00153</x:v>
      </x:c>
      <x:c r="C114" s="14" t="str">
        <x:v>C0033</x:v>
      </x:c>
      <x:c r="D114" s="14" t="str">
        <x:v>We need to reassign this because the current owner is on leave.</x:v>
      </x:c>
      <x:c r="E114" s="14" t="str">
        <x:v>Deliverable</x:v>
      </x:c>
      <x:c r="F114" s="14" t="str">
        <x:v>E004</x:v>
      </x:c>
      <x:c r="G114" s="14" t="str">
        <x:v>D004</x:v>
      </x:c>
      <x:c r="H114" s="16" t="str">
        <x:v>2026-07-09 13:00:00</x:v>
      </x:c>
      <x:c r="I114" s="16" t="str">
        <x:v>2026-07-16 13:00:00</x:v>
      </x:c>
      <x:c r="J114" s="16"/>
      <x:c r="K114" s="14" t="str">
        <x:v>Open</x:v>
      </x:c>
      <x:c r="L114" s="14" t="str">
        <x:v>Low</x:v>
      </x:c>
      <x:c r="M114" s="18" t="n">
        <x:v>0.766</x:v>
      </x:c>
      <x:c r="N114" s="18" t="n">
        <x:v>0.543</x:v>
      </x:c>
      <x:c r="O114" s="14" t="n">
        <x:v>48</x:v>
      </x:c>
      <x:c r="P114" s="14" t="n">
        <x:v>0</x:v>
      </x:c>
      <x:c r="Q114" s="14"/>
    </x:row>
    <x:row r="115">
      <x:c r="A115" s="14" t="str">
        <x:v>P00114</x:v>
      </x:c>
      <x:c r="B115" s="14" t="str">
        <x:v>M00164</x:v>
      </x:c>
      <x:c r="C115" s="14" t="str">
        <x:v>C0044</x:v>
      </x:c>
      <x:c r="D115" s="14" t="str">
        <x:v>I completed the draft and attached it for review.</x:v>
      </x:c>
      <x:c r="E115" s="14" t="str">
        <x:v>Decision</x:v>
      </x:c>
      <x:c r="F115" s="14" t="str">
        <x:v>E009</x:v>
      </x:c>
      <x:c r="G115" s="14" t="str">
        <x:v>D001</x:v>
      </x:c>
      <x:c r="H115" s="16" t="str">
        <x:v>2026-07-09 14:00:00</x:v>
      </x:c>
      <x:c r="I115" s="16" t="str">
        <x:v>2026-07-23 14:00:00</x:v>
      </x:c>
      <x:c r="J115" s="16"/>
      <x:c r="K115" s="14" t="str">
        <x:v>Open</x:v>
      </x:c>
      <x:c r="L115" s="14" t="str">
        <x:v>Critical</x:v>
      </x:c>
      <x:c r="M115" s="18" t="n">
        <x:v>0.854</x:v>
      </x:c>
      <x:c r="N115" s="18" t="n">
        <x:v>0.523</x:v>
      </x:c>
      <x:c r="O115" s="14" t="n">
        <x:v>72</x:v>
      </x:c>
      <x:c r="P115" s="14" t="n">
        <x:v>1</x:v>
      </x:c>
      <x:c r="Q115" s="14"/>
    </x:row>
    <x:row r="116">
      <x:c r="A116" s="14" t="str">
        <x:v>P00115</x:v>
      </x:c>
      <x:c r="B116" s="14" t="str">
        <x:v>M00175</x:v>
      </x:c>
      <x:c r="C116" s="14" t="str">
        <x:v>C0055</x:v>
      </x:c>
      <x:c r="D116" s="14" t="str">
        <x:v>The dependency is still blocked by vendor access.</x:v>
      </x:c>
      <x:c r="E116" s="14" t="str">
        <x:v>Approval</x:v>
      </x:c>
      <x:c r="F116" s="14" t="str">
        <x:v>E014</x:v>
      </x:c>
      <x:c r="G116" s="14" t="str">
        <x:v>D006</x:v>
      </x:c>
      <x:c r="H116" s="16" t="str">
        <x:v>2026-07-10 09:00:00</x:v>
      </x:c>
      <x:c r="I116" s="16" t="str">
        <x:v>2026-07-17 09:00:00</x:v>
      </x:c>
      <x:c r="J116" s="16"/>
      <x:c r="K116" s="14" t="str">
        <x:v>In Progress</x:v>
      </x:c>
      <x:c r="L116" s="14" t="str">
        <x:v>High</x:v>
      </x:c>
      <x:c r="M116" s="18" t="n">
        <x:v>0.844</x:v>
      </x:c>
      <x:c r="N116" s="18" t="n">
        <x:v>0.103</x:v>
      </x:c>
      <x:c r="O116" s="14" t="n">
        <x:v>72</x:v>
      </x:c>
      <x:c r="P116" s="14" t="n">
        <x:v>1</x:v>
      </x:c>
      <x:c r="Q116" s="14"/>
    </x:row>
    <x:row r="117">
      <x:c r="A117" s="14" t="str">
        <x:v>P00116</x:v>
      </x:c>
      <x:c r="B117" s="14" t="str">
        <x:v>M00006</x:v>
      </x:c>
      <x:c r="C117" s="14" t="str">
        <x:v>C0006</x:v>
      </x:c>
      <x:c r="D117" s="14" t="str">
        <x:v>Can you confirm the owner and close the open action?</x:v>
      </x:c>
      <x:c r="E117" s="14" t="str">
        <x:v>Follow-up</x:v>
      </x:c>
      <x:c r="F117" s="14" t="str">
        <x:v>E019</x:v>
      </x:c>
      <x:c r="G117" s="14" t="str">
        <x:v>D003</x:v>
      </x:c>
      <x:c r="H117" s="16" t="str">
        <x:v>2026-07-10 10:00:00</x:v>
      </x:c>
      <x:c r="I117" s="16" t="str">
        <x:v>2026-07-14 10:00:00</x:v>
      </x:c>
      <x:c r="J117" s="16"/>
      <x:c r="K117" s="14" t="str">
        <x:v>Open</x:v>
      </x:c>
      <x:c r="L117" s="14" t="str">
        <x:v>Medium</x:v>
      </x:c>
      <x:c r="M117" s="18" t="n">
        <x:v>0.903</x:v>
      </x:c>
      <x:c r="N117" s="18" t="n">
        <x:v>0.606</x:v>
      </x:c>
      <x:c r="O117" s="14" t="n">
        <x:v>48</x:v>
      </x:c>
      <x:c r="P117" s="14" t="n">
        <x:v>1</x:v>
      </x:c>
      <x:c r="Q117" s="14"/>
    </x:row>
    <x:row r="118">
      <x:c r="A118" s="14" t="str">
        <x:v>P00117</x:v>
      </x:c>
      <x:c r="B118" s="14" t="str">
        <x:v>M00017</x:v>
      </x:c>
      <x:c r="C118" s="14" t="str">
        <x:v>C0017</x:v>
      </x:c>
      <x:c r="D118" s="14" t="str">
        <x:v>We will circle back next week with a decision.</x:v>
      </x:c>
      <x:c r="E118" s="14" t="str">
        <x:v>Investigation</x:v>
      </x:c>
      <x:c r="F118" s="14" t="str">
        <x:v>E024</x:v>
      </x:c>
      <x:c r="G118" s="14" t="str">
        <x:v>D008</x:v>
      </x:c>
      <x:c r="H118" s="16" t="str">
        <x:v>2026-07-11 11:00:00</x:v>
      </x:c>
      <x:c r="I118" s="16" t="str">
        <x:v>2026-07-18 11:00:00</x:v>
      </x:c>
      <x:c r="J118" s="16"/>
      <x:c r="K118" s="14" t="str">
        <x:v>Open</x:v>
      </x:c>
      <x:c r="L118" s="14" t="str">
        <x:v>Low</x:v>
      </x:c>
      <x:c r="M118" s="18" t="n">
        <x:v>0.987</x:v>
      </x:c>
      <x:c r="N118" s="18" t="n">
        <x:v>0.159</x:v>
      </x:c>
      <x:c r="O118" s="14" t="n">
        <x:v>72</x:v>
      </x:c>
      <x:c r="P118" s="14" t="n">
        <x:v>1</x:v>
      </x:c>
      <x:c r="Q118" s="14"/>
    </x:row>
    <x:row r="119">
      <x:c r="A119" s="14" t="str">
        <x:v>P00118</x:v>
      </x:c>
      <x:c r="B119" s="14" t="str">
        <x:v>M00028</x:v>
      </x:c>
      <x:c r="C119" s="14" t="str">
        <x:v>C0028</x:v>
      </x:c>
      <x:c r="D119" s="14" t="str">
        <x:v>I will get legal approval before Friday.</x:v>
      </x:c>
      <x:c r="E119" s="14" t="str">
        <x:v>Customer Update</x:v>
      </x:c>
      <x:c r="F119" s="14" t="str">
        <x:v>E029</x:v>
      </x:c>
      <x:c r="G119" s="14" t="str">
        <x:v>D005</x:v>
      </x:c>
      <x:c r="H119" s="16" t="str">
        <x:v>2026-07-11 12:00:00</x:v>
      </x:c>
      <x:c r="I119" s="16" t="str">
        <x:v>2026-07-16 12:00:00</x:v>
      </x:c>
      <x:c r="J119" s="16"/>
      <x:c r="K119" s="14" t="str">
        <x:v>In Progress</x:v>
      </x:c>
      <x:c r="L119" s="14" t="str">
        <x:v>Critical</x:v>
      </x:c>
      <x:c r="M119" s="18" t="n">
        <x:v>0.843</x:v>
      </x:c>
      <x:c r="N119" s="18" t="n">
        <x:v>0.173</x:v>
      </x:c>
      <x:c r="O119" s="14" t="n">
        <x:v>120</x:v>
      </x:c>
      <x:c r="P119" s="14" t="n">
        <x:v>1</x:v>
      </x:c>
      <x:c r="Q119" s="14"/>
    </x:row>
    <x:row r="120">
      <x:c r="A120" s="14" t="str">
        <x:v>P00119</x:v>
      </x:c>
      <x:c r="B120" s="14" t="str">
        <x:v>M00039</x:v>
      </x:c>
      <x:c r="C120" s="14" t="str">
        <x:v>C0039</x:v>
      </x:c>
      <x:c r="D120" s="14" t="str">
        <x:v>Let's revisit this after the quarter-end release.</x:v>
      </x:c>
      <x:c r="E120" s="14" t="str">
        <x:v>Dependency</x:v>
      </x:c>
      <x:c r="F120" s="14" t="str">
        <x:v>E034</x:v>
      </x:c>
      <x:c r="G120" s="14" t="str">
        <x:v>D002</x:v>
      </x:c>
      <x:c r="H120" s="16" t="str">
        <x:v>2026-07-12 13:00:00</x:v>
      </x:c>
      <x:c r="I120" s="16" t="str">
        <x:v>2026-07-15 13:00:00</x:v>
      </x:c>
      <x:c r="J120" s="16"/>
      <x:c r="K120" s="14" t="str">
        <x:v>Open</x:v>
      </x:c>
      <x:c r="L120" s="14" t="str">
        <x:v>High</x:v>
      </x:c>
      <x:c r="M120" s="18" t="n">
        <x:v>0.749</x:v>
      </x:c>
      <x:c r="N120" s="18" t="n">
        <x:v>0.579</x:v>
      </x:c>
      <x:c r="O120" s="14" t="n">
        <x:v>96</x:v>
      </x:c>
      <x:c r="P120" s="14" t="n">
        <x:v>0</x:v>
      </x:c>
      <x:c r="Q120" s="14"/>
    </x:row>
    <x:row r="121">
      <x:c r="A121" s="14" t="str">
        <x:v>P00120</x:v>
      </x:c>
      <x:c r="B121" s="14" t="str">
        <x:v>M00050</x:v>
      </x:c>
      <x:c r="C121" s="14" t="str">
        <x:v>C0050</x:v>
      </x:c>
      <x:c r="D121" s="14" t="str">
        <x:v>Engineering will complete the fix in the next sprint.</x:v>
      </x:c>
      <x:c r="E121" s="14" t="str">
        <x:v>Deliverable</x:v>
      </x:c>
      <x:c r="F121" s="14" t="str">
        <x:v>E039</x:v>
      </x:c>
      <x:c r="G121" s="14" t="str">
        <x:v>D007</x:v>
      </x:c>
      <x:c r="H121" s="16" t="str">
        <x:v>2026-07-12 14:00:00</x:v>
      </x:c>
      <x:c r="I121" s="16" t="str">
        <x:v>2026-07-26 14:00:00</x:v>
      </x:c>
      <x:c r="J121" s="16"/>
      <x:c r="K121" s="14" t="str">
        <x:v>Open</x:v>
      </x:c>
      <x:c r="L121" s="14" t="str">
        <x:v>Medium</x:v>
      </x:c>
      <x:c r="M121" s="18" t="n">
        <x:v>0.726</x:v>
      </x:c>
      <x:c r="N121" s="18" t="n">
        <x:v>0.455</x:v>
      </x:c>
      <x:c r="O121" s="14" t="n">
        <x:v>96</x:v>
      </x:c>
      <x:c r="P121" s="14" t="n">
        <x:v>0</x:v>
      </x:c>
      <x:c r="Q121" s="14"/>
    </x:row>
  </x:sheetData>
  <x:conditionalFormatting sqref="N2:N1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K2:K121">
      <x:formula1>"Open,In Progress,Fulfilled,Overdue,Reassigned,Cancelled,Escalated"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a3ac9a897f44b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6" hidden="0" customWidth="1"/>
    <x:col min="5" max="5" width="16" hidden="0" customWidth="1"/>
    <x:col min="6" max="6" width="15" hidden="0" customWidth="1"/>
    <x:col min="7" max="7" width="28" hidden="0" customWidth="1"/>
  </x:cols>
  <x:sheetData>
    <x:row r="1" ht="28" customHeight="1">
      <x:c r="A1" s="6" t="str">
        <x:v>history_id</x:v>
      </x:c>
      <x:c r="B1" s="6" t="str">
        <x:v>promise_id</x:v>
      </x:c>
      <x:c r="C1" s="6" t="str">
        <x:v>event_ts</x:v>
      </x:c>
      <x:c r="D1" s="6" t="str">
        <x:v>from_status</x:v>
      </x:c>
      <x:c r="E1" s="6" t="str">
        <x:v>to_status</x:v>
      </x:c>
      <x:c r="F1" s="6" t="str">
        <x:v>changed_by_employee_id</x:v>
      </x:c>
      <x:c r="G1" s="6" t="str">
        <x:v>change_reason</x:v>
      </x:c>
    </x:row>
    <x:row r="2">
      <x:c r="A2" s="14" t="str">
        <x:v>H000001</x:v>
      </x:c>
      <x:c r="B2" s="14" t="str">
        <x:v>P00001</x:v>
      </x:c>
      <x:c r="C2" s="16" t="str">
        <x:v>2026-01-05 12:00:00</x:v>
      </x:c>
      <x:c r="D2" s="14"/>
      <x:c r="E2" s="14" t="str">
        <x:v>Open</x:v>
      </x:c>
      <x:c r="F2" s="14" t="str">
        <x:v>E004</x:v>
      </x:c>
      <x:c r="G2" s="14" t="str">
        <x:v>AI-created commitment after policy and confidence checks</x:v>
      </x:c>
    </x:row>
    <x:row r="3">
      <x:c r="A3" s="14" t="str">
        <x:v>H000002</x:v>
      </x:c>
      <x:c r="B3" s="14" t="str">
        <x:v>P00001</x:v>
      </x:c>
      <x:c r="C3" s="16" t="str">
        <x:v>2026-01-05 20:00:00</x:v>
      </x:c>
      <x:c r="D3" s="14" t="str">
        <x:v>Open</x:v>
      </x:c>
      <x:c r="E3" s="14" t="str">
        <x:v>In Progress</x:v>
      </x:c>
      <x:c r="F3" s="14" t="str">
        <x:v>E004</x:v>
      </x:c>
      <x:c r="G3" s="14" t="str">
        <x:v>Owner update or workflow transition</x:v>
      </x:c>
    </x:row>
    <x:row r="4">
      <x:c r="A4" s="14" t="str">
        <x:v>H000003</x:v>
      </x:c>
      <x:c r="B4" s="14" t="str">
        <x:v>P00001</x:v>
      </x:c>
      <x:c r="C4" s="16" t="str">
        <x:v>2026-01-09 12:00:00</x:v>
      </x:c>
      <x:c r="D4" s="14" t="str">
        <x:v>In Progress</x:v>
      </x:c>
      <x:c r="E4" s="14" t="str">
        <x:v>Overdue</x:v>
      </x:c>
      <x:c r="F4" s="14" t="str">
        <x:v>E004</x:v>
      </x:c>
      <x:c r="G4" s="14" t="str">
        <x:v>System SLA evaluation or owner completion</x:v>
      </x:c>
    </x:row>
    <x:row r="5">
      <x:c r="A5" s="14" t="str">
        <x:v>H000004</x:v>
      </x:c>
      <x:c r="B5" s="14" t="str">
        <x:v>P00002</x:v>
      </x:c>
      <x:c r="C5" s="16" t="str">
        <x:v>2026-01-27 23:00:00</x:v>
      </x:c>
      <x:c r="D5" s="14"/>
      <x:c r="E5" s="14" t="str">
        <x:v>Open</x:v>
      </x:c>
      <x:c r="F5" s="14" t="str">
        <x:v>E009</x:v>
      </x:c>
      <x:c r="G5" s="14" t="str">
        <x:v>AI-created commitment after policy and confidence checks</x:v>
      </x:c>
    </x:row>
    <x:row r="6">
      <x:c r="A6" s="14" t="str">
        <x:v>H000005</x:v>
      </x:c>
      <x:c r="B6" s="14" t="str">
        <x:v>P00002</x:v>
      </x:c>
      <x:c r="C6" s="16" t="str">
        <x:v>2026-01-28 16:00:00</x:v>
      </x:c>
      <x:c r="D6" s="14" t="str">
        <x:v>Open</x:v>
      </x:c>
      <x:c r="E6" s="14" t="str">
        <x:v>Cancelled</x:v>
      </x:c>
      <x:c r="F6" s="14" t="str">
        <x:v>E009</x:v>
      </x:c>
      <x:c r="G6" s="14" t="str">
        <x:v>Owner update or workflow transition</x:v>
      </x:c>
    </x:row>
    <x:row r="7">
      <x:c r="A7" s="14" t="str">
        <x:v>H000006</x:v>
      </x:c>
      <x:c r="B7" s="14" t="str">
        <x:v>P00003</x:v>
      </x:c>
      <x:c r="C7" s="16" t="str">
        <x:v>2026-02-19 02:00:00</x:v>
      </x:c>
      <x:c r="D7" s="14"/>
      <x:c r="E7" s="14" t="str">
        <x:v>Open</x:v>
      </x:c>
      <x:c r="F7" s="14" t="str">
        <x:v>E014</x:v>
      </x:c>
      <x:c r="G7" s="14" t="str">
        <x:v>AI-created commitment after policy and confidence checks</x:v>
      </x:c>
    </x:row>
    <x:row r="8">
      <x:c r="A8" s="14" t="str">
        <x:v>H000007</x:v>
      </x:c>
      <x:c r="B8" s="14" t="str">
        <x:v>P00003</x:v>
      </x:c>
      <x:c r="C8" s="16" t="str">
        <x:v>2026-02-19 06:00:00</x:v>
      </x:c>
      <x:c r="D8" s="14" t="str">
        <x:v>Open</x:v>
      </x:c>
      <x:c r="E8" s="14" t="str">
        <x:v>Reassigned</x:v>
      </x:c>
      <x:c r="F8" s="14" t="str">
        <x:v>E014</x:v>
      </x:c>
      <x:c r="G8" s="14" t="str">
        <x:v>Owner update or workflow transition</x:v>
      </x:c>
    </x:row>
    <x:row r="9">
      <x:c r="A9" s="14" t="str">
        <x:v>H000008</x:v>
      </x:c>
      <x:c r="B9" s="14" t="str">
        <x:v>P00004</x:v>
      </x:c>
      <x:c r="C9" s="16" t="str">
        <x:v>2026-03-13 14:00:00</x:v>
      </x:c>
      <x:c r="D9" s="14"/>
      <x:c r="E9" s="14" t="str">
        <x:v>Open</x:v>
      </x:c>
      <x:c r="F9" s="14" t="str">
        <x:v>E019</x:v>
      </x:c>
      <x:c r="G9" s="14" t="str">
        <x:v>AI-created commitment after policy and confidence checks</x:v>
      </x:c>
    </x:row>
    <x:row r="10">
      <x:c r="A10" s="14" t="str">
        <x:v>H000009</x:v>
      </x:c>
      <x:c r="B10" s="14" t="str">
        <x:v>P00004</x:v>
      </x:c>
      <x:c r="C10" s="16" t="str">
        <x:v>2026-03-14 06:00:00</x:v>
      </x:c>
      <x:c r="D10" s="14" t="str">
        <x:v>Open</x:v>
      </x:c>
      <x:c r="E10" s="14" t="str">
        <x:v>Reassigned</x:v>
      </x:c>
      <x:c r="F10" s="14" t="str">
        <x:v>E019</x:v>
      </x:c>
      <x:c r="G10" s="14" t="str">
        <x:v>Owner update or workflow transition</x:v>
      </x:c>
    </x:row>
    <x:row r="11">
      <x:c r="A11" s="14" t="str">
        <x:v>H000010</x:v>
      </x:c>
      <x:c r="B11" s="14" t="str">
        <x:v>P00005</x:v>
      </x:c>
      <x:c r="C11" s="16" t="str">
        <x:v>2026-04-04 22:00:00</x:v>
      </x:c>
      <x:c r="D11" s="14"/>
      <x:c r="E11" s="14" t="str">
        <x:v>Open</x:v>
      </x:c>
      <x:c r="F11" s="14" t="str">
        <x:v>E024</x:v>
      </x:c>
      <x:c r="G11" s="14" t="str">
        <x:v>AI-created commitment after policy and confidence checks</x:v>
      </x:c>
    </x:row>
    <x:row r="12">
      <x:c r="A12" s="14" t="str">
        <x:v>H000011</x:v>
      </x:c>
      <x:c r="B12" s="14" t="str">
        <x:v>P00005</x:v>
      </x:c>
      <x:c r="C12" s="16" t="str">
        <x:v>2026-04-05 12:00:00</x:v>
      </x:c>
      <x:c r="D12" s="14" t="str">
        <x:v>Open</x:v>
      </x:c>
      <x:c r="E12" s="14" t="str">
        <x:v>In Progress</x:v>
      </x:c>
      <x:c r="F12" s="14" t="str">
        <x:v>E024</x:v>
      </x:c>
      <x:c r="G12" s="14" t="str">
        <x:v>Owner update or workflow transition</x:v>
      </x:c>
    </x:row>
    <x:row r="13">
      <x:c r="A13" s="14" t="str">
        <x:v>H000012</x:v>
      </x:c>
      <x:c r="B13" s="14" t="str">
        <x:v>P00005</x:v>
      </x:c>
      <x:c r="C13" s="16" t="str">
        <x:v>2026-04-10 19:00:00</x:v>
      </x:c>
      <x:c r="D13" s="14" t="str">
        <x:v>In Progress</x:v>
      </x:c>
      <x:c r="E13" s="14" t="str">
        <x:v>Overdue</x:v>
      </x:c>
      <x:c r="F13" s="14" t="str">
        <x:v>E024</x:v>
      </x:c>
      <x:c r="G13" s="14" t="str">
        <x:v>System SLA evaluation or owner completion</x:v>
      </x:c>
    </x:row>
    <x:row r="14">
      <x:c r="A14" s="14" t="str">
        <x:v>H000013</x:v>
      </x:c>
      <x:c r="B14" s="14" t="str">
        <x:v>P00006</x:v>
      </x:c>
      <x:c r="C14" s="16" t="str">
        <x:v>2026-04-25 20:00:00</x:v>
      </x:c>
      <x:c r="D14" s="14"/>
      <x:c r="E14" s="14" t="str">
        <x:v>Open</x:v>
      </x:c>
      <x:c r="F14" s="14" t="str">
        <x:v>E029</x:v>
      </x:c>
      <x:c r="G14" s="14" t="str">
        <x:v>AI-created commitment after policy and confidence checks</x:v>
      </x:c>
    </x:row>
    <x:row r="15">
      <x:c r="A15" s="14" t="str">
        <x:v>H000014</x:v>
      </x:c>
      <x:c r="B15" s="14" t="str">
        <x:v>P00006</x:v>
      </x:c>
      <x:c r="C15" s="16" t="str">
        <x:v>2026-04-26 22:00:00</x:v>
      </x:c>
      <x:c r="D15" s="14" t="str">
        <x:v>Open</x:v>
      </x:c>
      <x:c r="E15" s="14" t="str">
        <x:v>Cancelled</x:v>
      </x:c>
      <x:c r="F15" s="14" t="str">
        <x:v>E029</x:v>
      </x:c>
      <x:c r="G15" s="14" t="str">
        <x:v>Owner update or workflow transition</x:v>
      </x:c>
    </x:row>
    <x:row r="16">
      <x:c r="A16" s="14" t="str">
        <x:v>H000015</x:v>
      </x:c>
      <x:c r="B16" s="14" t="str">
        <x:v>P00007</x:v>
      </x:c>
      <x:c r="C16" s="16" t="str">
        <x:v>2026-01-18 05:00:00</x:v>
      </x:c>
      <x:c r="D16" s="14"/>
      <x:c r="E16" s="14" t="str">
        <x:v>Open</x:v>
      </x:c>
      <x:c r="F16" s="14" t="str">
        <x:v>E034</x:v>
      </x:c>
      <x:c r="G16" s="14" t="str">
        <x:v>AI-created commitment after policy and confidence checks</x:v>
      </x:c>
    </x:row>
    <x:row r="17">
      <x:c r="A17" s="14" t="str">
        <x:v>H000016</x:v>
      </x:c>
      <x:c r="B17" s="14" t="str">
        <x:v>P00007</x:v>
      </x:c>
      <x:c r="C17" s="16" t="str">
        <x:v>2026-01-18 15:00:00</x:v>
      </x:c>
      <x:c r="D17" s="14" t="str">
        <x:v>Open</x:v>
      </x:c>
      <x:c r="E17" s="14" t="str">
        <x:v>In Progress</x:v>
      </x:c>
      <x:c r="F17" s="14" t="str">
        <x:v>E034</x:v>
      </x:c>
      <x:c r="G17" s="14" t="str">
        <x:v>Owner update or workflow transition</x:v>
      </x:c>
    </x:row>
    <x:row r="18">
      <x:c r="A18" s="14" t="str">
        <x:v>H000017</x:v>
      </x:c>
      <x:c r="B18" s="14" t="str">
        <x:v>P00007</x:v>
      </x:c>
      <x:c r="C18" s="16" t="str">
        <x:v>2026-01-24 21:00:00</x:v>
      </x:c>
      <x:c r="D18" s="14" t="str">
        <x:v>In Progress</x:v>
      </x:c>
      <x:c r="E18" s="14" t="str">
        <x:v>Fulfilled</x:v>
      </x:c>
      <x:c r="F18" s="14" t="str">
        <x:v>E034</x:v>
      </x:c>
      <x:c r="G18" s="14" t="str">
        <x:v>System SLA evaluation or owner completion</x:v>
      </x:c>
    </x:row>
    <x:row r="19">
      <x:c r="A19" s="14" t="str">
        <x:v>H000018</x:v>
      </x:c>
      <x:c r="B19" s="14" t="str">
        <x:v>P00008</x:v>
      </x:c>
      <x:c r="C19" s="16" t="str">
        <x:v>2026-02-09 10:00:00</x:v>
      </x:c>
      <x:c r="D19" s="14"/>
      <x:c r="E19" s="14" t="str">
        <x:v>Open</x:v>
      </x:c>
      <x:c r="F19" s="14" t="str">
        <x:v>E039</x:v>
      </x:c>
      <x:c r="G19" s="14" t="str">
        <x:v>AI-created commitment after policy and confidence checks</x:v>
      </x:c>
    </x:row>
    <x:row r="20">
      <x:c r="A20" s="14" t="str">
        <x:v>H000019</x:v>
      </x:c>
      <x:c r="B20" s="14" t="str">
        <x:v>P00008</x:v>
      </x:c>
      <x:c r="C20" s="16" t="str">
        <x:v>2026-02-10 03:00:00</x:v>
      </x:c>
      <x:c r="D20" s="14" t="str">
        <x:v>Open</x:v>
      </x:c>
      <x:c r="E20" s="14" t="str">
        <x:v>In Progress</x:v>
      </x:c>
      <x:c r="F20" s="14" t="str">
        <x:v>E039</x:v>
      </x:c>
      <x:c r="G20" s="14" t="str">
        <x:v>Owner update or workflow transition</x:v>
      </x:c>
    </x:row>
    <x:row r="21">
      <x:c r="A21" s="14" t="str">
        <x:v>H000020</x:v>
      </x:c>
      <x:c r="B21" s="14" t="str">
        <x:v>P00008</x:v>
      </x:c>
      <x:c r="C21" s="16" t="str">
        <x:v>2026-02-19 13:00:00</x:v>
      </x:c>
      <x:c r="D21" s="14" t="str">
        <x:v>In Progress</x:v>
      </x:c>
      <x:c r="E21" s="14" t="str">
        <x:v>Fulfilled</x:v>
      </x:c>
      <x:c r="F21" s="14" t="str">
        <x:v>E039</x:v>
      </x:c>
      <x:c r="G21" s="14" t="str">
        <x:v>System SLA evaluation or owner completion</x:v>
      </x:c>
    </x:row>
    <x:row r="22">
      <x:c r="A22" s="14" t="str">
        <x:v>H000021</x:v>
      </x:c>
      <x:c r="B22" s="14" t="str">
        <x:v>P00009</x:v>
      </x:c>
      <x:c r="C22" s="16" t="str">
        <x:v>2026-03-03 15:00:00</x:v>
      </x:c>
      <x:c r="D22" s="14"/>
      <x:c r="E22" s="14" t="str">
        <x:v>Open</x:v>
      </x:c>
      <x:c r="F22" s="14" t="str">
        <x:v>E004</x:v>
      </x:c>
      <x:c r="G22" s="14" t="str">
        <x:v>AI-created commitment after policy and confidence checks</x:v>
      </x:c>
    </x:row>
    <x:row r="23">
      <x:c r="A23" s="14" t="str">
        <x:v>H000022</x:v>
      </x:c>
      <x:c r="B23" s="14" t="str">
        <x:v>P00009</x:v>
      </x:c>
      <x:c r="C23" s="16" t="str">
        <x:v>2026-03-04 13:00:00</x:v>
      </x:c>
      <x:c r="D23" s="14" t="str">
        <x:v>Open</x:v>
      </x:c>
      <x:c r="E23" s="14" t="str">
        <x:v>In Progress</x:v>
      </x:c>
      <x:c r="F23" s="14" t="str">
        <x:v>E004</x:v>
      </x:c>
      <x:c r="G23" s="14" t="str">
        <x:v>Owner update or workflow transition</x:v>
      </x:c>
    </x:row>
    <x:row r="24">
      <x:c r="A24" s="14" t="str">
        <x:v>H000023</x:v>
      </x:c>
      <x:c r="B24" s="14" t="str">
        <x:v>P00009</x:v>
      </x:c>
      <x:c r="C24" s="16" t="str">
        <x:v>2026-03-07 11:00:00</x:v>
      </x:c>
      <x:c r="D24" s="14" t="str">
        <x:v>In Progress</x:v>
      </x:c>
      <x:c r="E24" s="14" t="str">
        <x:v>Overdue</x:v>
      </x:c>
      <x:c r="F24" s="14" t="str">
        <x:v>E004</x:v>
      </x:c>
      <x:c r="G24" s="14" t="str">
        <x:v>System SLA evaluation or owner completion</x:v>
      </x:c>
    </x:row>
    <x:row r="25">
      <x:c r="A25" s="14" t="str">
        <x:v>H000024</x:v>
      </x:c>
      <x:c r="B25" s="14" t="str">
        <x:v>P00010</x:v>
      </x:c>
      <x:c r="C25" s="16" t="str">
        <x:v>2026-03-24 13:00:00</x:v>
      </x:c>
      <x:c r="D25" s="14"/>
      <x:c r="E25" s="14" t="str">
        <x:v>Open</x:v>
      </x:c>
      <x:c r="F25" s="14" t="str">
        <x:v>E009</x:v>
      </x:c>
      <x:c r="G25" s="14" t="str">
        <x:v>AI-created commitment after policy and confidence checks</x:v>
      </x:c>
    </x:row>
    <x:row r="26">
      <x:c r="A26" s="14" t="str">
        <x:v>H000025</x:v>
      </x:c>
      <x:c r="B26" s="14" t="str">
        <x:v>P00010</x:v>
      </x:c>
      <x:c r="C26" s="16" t="str">
        <x:v>2026-03-25 16:00:00</x:v>
      </x:c>
      <x:c r="D26" s="14" t="str">
        <x:v>Open</x:v>
      </x:c>
      <x:c r="E26" s="14" t="str">
        <x:v>In Progress</x:v>
      </x:c>
      <x:c r="F26" s="14" t="str">
        <x:v>E009</x:v>
      </x:c>
      <x:c r="G26" s="14" t="str">
        <x:v>Owner update or workflow transition</x:v>
      </x:c>
    </x:row>
    <x:row r="27">
      <x:c r="A27" s="14" t="str">
        <x:v>H000026</x:v>
      </x:c>
      <x:c r="B27" s="14" t="str">
        <x:v>P00010</x:v>
      </x:c>
      <x:c r="C27" s="16" t="str">
        <x:v>2026-03-27 19:00:00</x:v>
      </x:c>
      <x:c r="D27" s="14" t="str">
        <x:v>In Progress</x:v>
      </x:c>
      <x:c r="E27" s="14" t="str">
        <x:v>Fulfilled</x:v>
      </x:c>
      <x:c r="F27" s="14" t="str">
        <x:v>E009</x:v>
      </x:c>
      <x:c r="G27" s="14" t="str">
        <x:v>System SLA evaluation or owner completion</x:v>
      </x:c>
    </x:row>
    <x:row r="28">
      <x:c r="A28" s="14" t="str">
        <x:v>H000027</x:v>
      </x:c>
      <x:c r="B28" s="14" t="str">
        <x:v>P00011</x:v>
      </x:c>
      <x:c r="C28" s="16" t="str">
        <x:v>2026-04-15 21:00:00</x:v>
      </x:c>
      <x:c r="D28" s="14"/>
      <x:c r="E28" s="14" t="str">
        <x:v>Open</x:v>
      </x:c>
      <x:c r="F28" s="14" t="str">
        <x:v>E014</x:v>
      </x:c>
      <x:c r="G28" s="14" t="str">
        <x:v>AI-created commitment after policy and confidence checks</x:v>
      </x:c>
    </x:row>
    <x:row r="29">
      <x:c r="A29" s="14" t="str">
        <x:v>H000028</x:v>
      </x:c>
      <x:c r="B29" s="14" t="str">
        <x:v>P00011</x:v>
      </x:c>
      <x:c r="C29" s="16" t="str">
        <x:v>2026-04-16 23:00:00</x:v>
      </x:c>
      <x:c r="D29" s="14" t="str">
        <x:v>Open</x:v>
      </x:c>
      <x:c r="E29" s="14" t="str">
        <x:v>In Progress</x:v>
      </x:c>
      <x:c r="F29" s="14" t="str">
        <x:v>E014</x:v>
      </x:c>
      <x:c r="G29" s="14" t="str">
        <x:v>Owner update or workflow transition</x:v>
      </x:c>
    </x:row>
    <x:row r="30">
      <x:c r="A30" s="14" t="str">
        <x:v>H000029</x:v>
      </x:c>
      <x:c r="B30" s="14" t="str">
        <x:v>P00011</x:v>
      </x:c>
      <x:c r="C30" s="16" t="str">
        <x:v>2026-04-20 10:00:00</x:v>
      </x:c>
      <x:c r="D30" s="14" t="str">
        <x:v>In Progress</x:v>
      </x:c>
      <x:c r="E30" s="14" t="str">
        <x:v>Fulfilled</x:v>
      </x:c>
      <x:c r="F30" s="14" t="str">
        <x:v>E014</x:v>
      </x:c>
      <x:c r="G30" s="14" t="str">
        <x:v>System SLA evaluation or owner completion</x:v>
      </x:c>
    </x:row>
    <x:row r="31">
      <x:c r="A31" s="14" t="str">
        <x:v>H000030</x:v>
      </x:c>
      <x:c r="B31" s="14" t="str">
        <x:v>P00012</x:v>
      </x:c>
      <x:c r="C31" s="16" t="str">
        <x:v>2026-01-08 02:00:00</x:v>
      </x:c>
      <x:c r="D31" s="14"/>
      <x:c r="E31" s="14" t="str">
        <x:v>Open</x:v>
      </x:c>
      <x:c r="F31" s="14" t="str">
        <x:v>E019</x:v>
      </x:c>
      <x:c r="G31" s="14" t="str">
        <x:v>AI-created commitment after policy and confidence checks</x:v>
      </x:c>
    </x:row>
    <x:row r="32">
      <x:c r="A32" s="14" t="str">
        <x:v>H000031</x:v>
      </x:c>
      <x:c r="B32" s="14" t="str">
        <x:v>P00012</x:v>
      </x:c>
      <x:c r="C32" s="16" t="str">
        <x:v>2026-01-09 06:00:00</x:v>
      </x:c>
      <x:c r="D32" s="14" t="str">
        <x:v>Open</x:v>
      </x:c>
      <x:c r="E32" s="14" t="str">
        <x:v>In Progress</x:v>
      </x:c>
      <x:c r="F32" s="14" t="str">
        <x:v>E019</x:v>
      </x:c>
      <x:c r="G32" s="14" t="str">
        <x:v>Owner update or workflow transition</x:v>
      </x:c>
    </x:row>
    <x:row r="33">
      <x:c r="A33" s="14" t="str">
        <x:v>H000032</x:v>
      </x:c>
      <x:c r="B33" s="14" t="str">
        <x:v>P00012</x:v>
      </x:c>
      <x:c r="C33" s="16" t="str">
        <x:v>2026-01-16 01:00:00</x:v>
      </x:c>
      <x:c r="D33" s="14" t="str">
        <x:v>In Progress</x:v>
      </x:c>
      <x:c r="E33" s="14" t="str">
        <x:v>Fulfilled</x:v>
      </x:c>
      <x:c r="F33" s="14" t="str">
        <x:v>E019</x:v>
      </x:c>
      <x:c r="G33" s="14" t="str">
        <x:v>System SLA evaluation or owner completion</x:v>
      </x:c>
    </x:row>
    <x:row r="34">
      <x:c r="A34" s="14" t="str">
        <x:v>H000033</x:v>
      </x:c>
      <x:c r="B34" s="14" t="str">
        <x:v>P00013</x:v>
      </x:c>
      <x:c r="C34" s="16" t="str">
        <x:v>2026-01-30 16:00:00</x:v>
      </x:c>
      <x:c r="D34" s="14"/>
      <x:c r="E34" s="14" t="str">
        <x:v>Open</x:v>
      </x:c>
      <x:c r="F34" s="14" t="str">
        <x:v>E024</x:v>
      </x:c>
      <x:c r="G34" s="14" t="str">
        <x:v>AI-created commitment after policy and confidence checks</x:v>
      </x:c>
    </x:row>
    <x:row r="35">
      <x:c r="A35" s="14" t="str">
        <x:v>H000034</x:v>
      </x:c>
      <x:c r="B35" s="14" t="str">
        <x:v>P00013</x:v>
      </x:c>
      <x:c r="C35" s="16" t="str">
        <x:v>2026-01-31 09:00:00</x:v>
      </x:c>
      <x:c r="D35" s="14" t="str">
        <x:v>Open</x:v>
      </x:c>
      <x:c r="E35" s="14" t="str">
        <x:v>In Progress</x:v>
      </x:c>
      <x:c r="F35" s="14" t="str">
        <x:v>E024</x:v>
      </x:c>
      <x:c r="G35" s="14" t="str">
        <x:v>Owner update or workflow transition</x:v>
      </x:c>
    </x:row>
    <x:row r="36">
      <x:c r="A36" s="14" t="str">
        <x:v>H000035</x:v>
      </x:c>
      <x:c r="B36" s="14" t="str">
        <x:v>P00013</x:v>
      </x:c>
      <x:c r="C36" s="16" t="str">
        <x:v>2026-02-04 15:00:00</x:v>
      </x:c>
      <x:c r="D36" s="14" t="str">
        <x:v>In Progress</x:v>
      </x:c>
      <x:c r="E36" s="14" t="str">
        <x:v>Fulfilled</x:v>
      </x:c>
      <x:c r="F36" s="14" t="str">
        <x:v>E024</x:v>
      </x:c>
      <x:c r="G36" s="14" t="str">
        <x:v>System SLA evaluation or owner completion</x:v>
      </x:c>
    </x:row>
    <x:row r="37">
      <x:c r="A37" s="14" t="str">
        <x:v>H000036</x:v>
      </x:c>
      <x:c r="B37" s="14" t="str">
        <x:v>P00014</x:v>
      </x:c>
      <x:c r="C37" s="16" t="str">
        <x:v>2026-02-21 19:00:00</x:v>
      </x:c>
      <x:c r="D37" s="14"/>
      <x:c r="E37" s="14" t="str">
        <x:v>Open</x:v>
      </x:c>
      <x:c r="F37" s="14" t="str">
        <x:v>E029</x:v>
      </x:c>
      <x:c r="G37" s="14" t="str">
        <x:v>AI-created commitment after policy and confidence checks</x:v>
      </x:c>
    </x:row>
    <x:row r="38">
      <x:c r="A38" s="14" t="str">
        <x:v>H000037</x:v>
      </x:c>
      <x:c r="B38" s="14" t="str">
        <x:v>P00014</x:v>
      </x:c>
      <x:c r="C38" s="16" t="str">
        <x:v>2026-02-22 05:00:00</x:v>
      </x:c>
      <x:c r="D38" s="14" t="str">
        <x:v>Open</x:v>
      </x:c>
      <x:c r="E38" s="14" t="str">
        <x:v>In Progress</x:v>
      </x:c>
      <x:c r="F38" s="14" t="str">
        <x:v>E029</x:v>
      </x:c>
      <x:c r="G38" s="14" t="str">
        <x:v>Owner update or workflow transition</x:v>
      </x:c>
    </x:row>
    <x:row r="39">
      <x:c r="A39" s="14" t="str">
        <x:v>H000038</x:v>
      </x:c>
      <x:c r="B39" s="14" t="str">
        <x:v>P00014</x:v>
      </x:c>
      <x:c r="C39" s="16" t="str">
        <x:v>2026-03-02 14:00:00</x:v>
      </x:c>
      <x:c r="D39" s="14" t="str">
        <x:v>In Progress</x:v>
      </x:c>
      <x:c r="E39" s="14" t="str">
        <x:v>Fulfilled</x:v>
      </x:c>
      <x:c r="F39" s="14" t="str">
        <x:v>E029</x:v>
      </x:c>
      <x:c r="G39" s="14" t="str">
        <x:v>System SLA evaluation or owner completion</x:v>
      </x:c>
    </x:row>
    <x:row r="40">
      <x:c r="A40" s="14" t="str">
        <x:v>H000039</x:v>
      </x:c>
      <x:c r="B40" s="14" t="str">
        <x:v>P00015</x:v>
      </x:c>
      <x:c r="C40" s="16" t="str">
        <x:v>2026-03-14 21:00:00</x:v>
      </x:c>
      <x:c r="D40" s="14"/>
      <x:c r="E40" s="14" t="str">
        <x:v>Open</x:v>
      </x:c>
      <x:c r="F40" s="14" t="str">
        <x:v>E034</x:v>
      </x:c>
      <x:c r="G40" s="14" t="str">
        <x:v>AI-created commitment after policy and confidence checks</x:v>
      </x:c>
    </x:row>
    <x:row r="41">
      <x:c r="A41" s="14" t="str">
        <x:v>H000040</x:v>
      </x:c>
      <x:c r="B41" s="14" t="str">
        <x:v>P00015</x:v>
      </x:c>
      <x:c r="C41" s="16" t="str">
        <x:v>2026-03-15 17:00:00</x:v>
      </x:c>
      <x:c r="D41" s="14" t="str">
        <x:v>Open</x:v>
      </x:c>
      <x:c r="E41" s="14" t="str">
        <x:v>In Progress</x:v>
      </x:c>
      <x:c r="F41" s="14" t="str">
        <x:v>E034</x:v>
      </x:c>
      <x:c r="G41" s="14" t="str">
        <x:v>Owner update or workflow transition</x:v>
      </x:c>
    </x:row>
    <x:row r="42">
      <x:c r="A42" s="14" t="str">
        <x:v>H000041</x:v>
      </x:c>
      <x:c r="B42" s="14" t="str">
        <x:v>P00015</x:v>
      </x:c>
      <x:c r="C42" s="16" t="str">
        <x:v>2026-03-18 16:00:00</x:v>
      </x:c>
      <x:c r="D42" s="14" t="str">
        <x:v>In Progress</x:v>
      </x:c>
      <x:c r="E42" s="14" t="str">
        <x:v>Fulfilled</x:v>
      </x:c>
      <x:c r="F42" s="14" t="str">
        <x:v>E034</x:v>
      </x:c>
      <x:c r="G42" s="14" t="str">
        <x:v>System SLA evaluation or owner completion</x:v>
      </x:c>
    </x:row>
    <x:row r="43">
      <x:c r="A43" s="14" t="str">
        <x:v>H000042</x:v>
      </x:c>
      <x:c r="B43" s="14" t="str">
        <x:v>P00016</x:v>
      </x:c>
      <x:c r="C43" s="16" t="str">
        <x:v>2026-04-06 01:00:00</x:v>
      </x:c>
      <x:c r="D43" s="14"/>
      <x:c r="E43" s="14" t="str">
        <x:v>Open</x:v>
      </x:c>
      <x:c r="F43" s="14" t="str">
        <x:v>E039</x:v>
      </x:c>
      <x:c r="G43" s="14" t="str">
        <x:v>AI-created commitment after policy and confidence checks</x:v>
      </x:c>
    </x:row>
    <x:row r="44">
      <x:c r="A44" s="14" t="str">
        <x:v>H000043</x:v>
      </x:c>
      <x:c r="B44" s="14" t="str">
        <x:v>P00016</x:v>
      </x:c>
      <x:c r="C44" s="16" t="str">
        <x:v>2026-04-06 11:00:00</x:v>
      </x:c>
      <x:c r="D44" s="14" t="str">
        <x:v>Open</x:v>
      </x:c>
      <x:c r="E44" s="14" t="str">
        <x:v>In Progress</x:v>
      </x:c>
      <x:c r="F44" s="14" t="str">
        <x:v>E039</x:v>
      </x:c>
      <x:c r="G44" s="14" t="str">
        <x:v>Owner update or workflow transition</x:v>
      </x:c>
    </x:row>
    <x:row r="45">
      <x:c r="A45" s="14" t="str">
        <x:v>H000044</x:v>
      </x:c>
      <x:c r="B45" s="14" t="str">
        <x:v>P00016</x:v>
      </x:c>
      <x:c r="C45" s="16" t="str">
        <x:v>2026-04-11 16:00:00</x:v>
      </x:c>
      <x:c r="D45" s="14" t="str">
        <x:v>In Progress</x:v>
      </x:c>
      <x:c r="E45" s="14" t="str">
        <x:v>Fulfilled</x:v>
      </x:c>
      <x:c r="F45" s="14" t="str">
        <x:v>E039</x:v>
      </x:c>
      <x:c r="G45" s="14" t="str">
        <x:v>System SLA evaluation or owner completion</x:v>
      </x:c>
    </x:row>
    <x:row r="46">
      <x:c r="A46" s="14" t="str">
        <x:v>H000045</x:v>
      </x:c>
      <x:c r="B46" s="14" t="str">
        <x:v>P00017</x:v>
      </x:c>
      <x:c r="C46" s="16" t="str">
        <x:v>2026-04-28 08:00:00</x:v>
      </x:c>
      <x:c r="D46" s="14"/>
      <x:c r="E46" s="14" t="str">
        <x:v>Open</x:v>
      </x:c>
      <x:c r="F46" s="14" t="str">
        <x:v>E004</x:v>
      </x:c>
      <x:c r="G46" s="14" t="str">
        <x:v>AI-created commitment after policy and confidence checks</x:v>
      </x:c>
    </x:row>
    <x:row r="47">
      <x:c r="A47" s="14" t="str">
        <x:v>H000046</x:v>
      </x:c>
      <x:c r="B47" s="14" t="str">
        <x:v>P00017</x:v>
      </x:c>
      <x:c r="C47" s="16" t="str">
        <x:v>2026-04-28 20:00:00</x:v>
      </x:c>
      <x:c r="D47" s="14" t="str">
        <x:v>Open</x:v>
      </x:c>
      <x:c r="E47" s="14" t="str">
        <x:v>In Progress</x:v>
      </x:c>
      <x:c r="F47" s="14" t="str">
        <x:v>E004</x:v>
      </x:c>
      <x:c r="G47" s="14" t="str">
        <x:v>Owner update or workflow transition</x:v>
      </x:c>
    </x:row>
    <x:row r="48">
      <x:c r="A48" s="14" t="str">
        <x:v>H000047</x:v>
      </x:c>
      <x:c r="B48" s="14" t="str">
        <x:v>P00017</x:v>
      </x:c>
      <x:c r="C48" s="16" t="str">
        <x:v>2026-05-03 09:00:00</x:v>
      </x:c>
      <x:c r="D48" s="14" t="str">
        <x:v>In Progress</x:v>
      </x:c>
      <x:c r="E48" s="14" t="str">
        <x:v>Fulfilled</x:v>
      </x:c>
      <x:c r="F48" s="14" t="str">
        <x:v>E004</x:v>
      </x:c>
      <x:c r="G48" s="14" t="str">
        <x:v>System SLA evaluation or owner completion</x:v>
      </x:c>
    </x:row>
    <x:row r="49">
      <x:c r="A49" s="14" t="str">
        <x:v>H000048</x:v>
      </x:c>
      <x:c r="B49" s="14" t="str">
        <x:v>P00018</x:v>
      </x:c>
      <x:c r="C49" s="16" t="str">
        <x:v>2026-01-20 13:00:00</x:v>
      </x:c>
      <x:c r="D49" s="14"/>
      <x:c r="E49" s="14" t="str">
        <x:v>Open</x:v>
      </x:c>
      <x:c r="F49" s="14" t="str">
        <x:v>E009</x:v>
      </x:c>
      <x:c r="G49" s="14" t="str">
        <x:v>AI-created commitment after policy and confidence checks</x:v>
      </x:c>
    </x:row>
    <x:row r="50">
      <x:c r="A50" s="14" t="str">
        <x:v>H000049</x:v>
      </x:c>
      <x:c r="B50" s="14" t="str">
        <x:v>P00018</x:v>
      </x:c>
      <x:c r="C50" s="16" t="str">
        <x:v>2026-01-21 17:00:00</x:v>
      </x:c>
      <x:c r="D50" s="14" t="str">
        <x:v>Open</x:v>
      </x:c>
      <x:c r="E50" s="14" t="str">
        <x:v>In Progress</x:v>
      </x:c>
      <x:c r="F50" s="14" t="str">
        <x:v>E009</x:v>
      </x:c>
      <x:c r="G50" s="14" t="str">
        <x:v>Owner update or workflow transition</x:v>
      </x:c>
    </x:row>
    <x:row r="51">
      <x:c r="A51" s="14" t="str">
        <x:v>H000050</x:v>
      </x:c>
      <x:c r="B51" s="14" t="str">
        <x:v>P00018</x:v>
      </x:c>
      <x:c r="C51" s="16" t="str">
        <x:v>2026-01-28 21:00:00</x:v>
      </x:c>
      <x:c r="D51" s="14" t="str">
        <x:v>In Progress</x:v>
      </x:c>
      <x:c r="E51" s="14" t="str">
        <x:v>Overdue</x:v>
      </x:c>
      <x:c r="F51" s="14" t="str">
        <x:v>E009</x:v>
      </x:c>
      <x:c r="G51" s="14" t="str">
        <x:v>System SLA evaluation or owner completion</x:v>
      </x:c>
    </x:row>
    <x:row r="52">
      <x:c r="A52" s="14" t="str">
        <x:v>H000051</x:v>
      </x:c>
      <x:c r="B52" s="14" t="str">
        <x:v>P00019</x:v>
      </x:c>
      <x:c r="C52" s="16" t="str">
        <x:v>2026-02-10 13:00:00</x:v>
      </x:c>
      <x:c r="D52" s="14"/>
      <x:c r="E52" s="14" t="str">
        <x:v>Open</x:v>
      </x:c>
      <x:c r="F52" s="14" t="str">
        <x:v>E014</x:v>
      </x:c>
      <x:c r="G52" s="14" t="str">
        <x:v>AI-created commitment after policy and confidence checks</x:v>
      </x:c>
    </x:row>
    <x:row r="53">
      <x:c r="A53" s="14" t="str">
        <x:v>H000052</x:v>
      </x:c>
      <x:c r="B53" s="14" t="str">
        <x:v>P00019</x:v>
      </x:c>
      <x:c r="C53" s="16" t="str">
        <x:v>2026-02-11 18:00:00</x:v>
      </x:c>
      <x:c r="D53" s="14" t="str">
        <x:v>Open</x:v>
      </x:c>
      <x:c r="E53" s="14" t="str">
        <x:v>Reassigned</x:v>
      </x:c>
      <x:c r="F53" s="14" t="str">
        <x:v>E014</x:v>
      </x:c>
      <x:c r="G53" s="14" t="str">
        <x:v>Owner update or workflow transition</x:v>
      </x:c>
    </x:row>
    <x:row r="54">
      <x:c r="A54" s="14" t="str">
        <x:v>H000053</x:v>
      </x:c>
      <x:c r="B54" s="14" t="str">
        <x:v>P00020</x:v>
      </x:c>
      <x:c r="C54" s="16" t="str">
        <x:v>2026-03-04 21:00:00</x:v>
      </x:c>
      <x:c r="D54" s="14"/>
      <x:c r="E54" s="14" t="str">
        <x:v>Open</x:v>
      </x:c>
      <x:c r="F54" s="14" t="str">
        <x:v>E019</x:v>
      </x:c>
      <x:c r="G54" s="14" t="str">
        <x:v>AI-created commitment after policy and confidence checks</x:v>
      </x:c>
    </x:row>
    <x:row r="55">
      <x:c r="A55" s="14" t="str">
        <x:v>H000054</x:v>
      </x:c>
      <x:c r="B55" s="14" t="str">
        <x:v>P00020</x:v>
      </x:c>
      <x:c r="C55" s="16" t="str">
        <x:v>2026-03-05 06:00:00</x:v>
      </x:c>
      <x:c r="D55" s="14" t="str">
        <x:v>Open</x:v>
      </x:c>
      <x:c r="E55" s="14" t="str">
        <x:v>In Progress</x:v>
      </x:c>
      <x:c r="F55" s="14" t="str">
        <x:v>E019</x:v>
      </x:c>
      <x:c r="G55" s="14" t="str">
        <x:v>Owner update or workflow transition</x:v>
      </x:c>
    </x:row>
    <x:row r="56">
      <x:c r="A56" s="14" t="str">
        <x:v>H000055</x:v>
      </x:c>
      <x:c r="B56" s="14" t="str">
        <x:v>P00020</x:v>
      </x:c>
      <x:c r="C56" s="16" t="str">
        <x:v>2026-03-09 22:00:00</x:v>
      </x:c>
      <x:c r="D56" s="14" t="str">
        <x:v>In Progress</x:v>
      </x:c>
      <x:c r="E56" s="14" t="str">
        <x:v>Overdue</x:v>
      </x:c>
      <x:c r="F56" s="14" t="str">
        <x:v>E019</x:v>
      </x:c>
      <x:c r="G56" s="14" t="str">
        <x:v>System SLA evaluation or owner completion</x:v>
      </x:c>
    </x:row>
    <x:row r="57">
      <x:c r="A57" s="14" t="str">
        <x:v>H000056</x:v>
      </x:c>
      <x:c r="B57" s="14" t="str">
        <x:v>P00021</x:v>
      </x:c>
      <x:c r="C57" s="16" t="str">
        <x:v>2026-03-27 09:00:00</x:v>
      </x:c>
      <x:c r="D57" s="14"/>
      <x:c r="E57" s="14" t="str">
        <x:v>Open</x:v>
      </x:c>
      <x:c r="F57" s="14" t="str">
        <x:v>E024</x:v>
      </x:c>
      <x:c r="G57" s="14" t="str">
        <x:v>AI-created commitment after policy and confidence checks</x:v>
      </x:c>
    </x:row>
    <x:row r="58">
      <x:c r="A58" s="14" t="str">
        <x:v>H000057</x:v>
      </x:c>
      <x:c r="B58" s="14" t="str">
        <x:v>P00021</x:v>
      </x:c>
      <x:c r="C58" s="16" t="str">
        <x:v>2026-03-28 09:00:00</x:v>
      </x:c>
      <x:c r="D58" s="14" t="str">
        <x:v>Open</x:v>
      </x:c>
      <x:c r="E58" s="14" t="str">
        <x:v>In Progress</x:v>
      </x:c>
      <x:c r="F58" s="14" t="str">
        <x:v>E024</x:v>
      </x:c>
      <x:c r="G58" s="14" t="str">
        <x:v>Owner update or workflow transition</x:v>
      </x:c>
    </x:row>
    <x:row r="59">
      <x:c r="A59" s="14" t="str">
        <x:v>H000058</x:v>
      </x:c>
      <x:c r="B59" s="14" t="str">
        <x:v>P00021</x:v>
      </x:c>
      <x:c r="C59" s="16" t="str">
        <x:v>2026-04-01 14:00:00</x:v>
      </x:c>
      <x:c r="D59" s="14" t="str">
        <x:v>In Progress</x:v>
      </x:c>
      <x:c r="E59" s="14" t="str">
        <x:v>Fulfilled</x:v>
      </x:c>
      <x:c r="F59" s="14" t="str">
        <x:v>E024</x:v>
      </x:c>
      <x:c r="G59" s="14" t="str">
        <x:v>System SLA evaluation or owner completion</x:v>
      </x:c>
    </x:row>
    <x:row r="60">
      <x:c r="A60" s="14" t="str">
        <x:v>H000059</x:v>
      </x:c>
      <x:c r="B60" s="14" t="str">
        <x:v>P00022</x:v>
      </x:c>
      <x:c r="C60" s="16" t="str">
        <x:v>2026-04-18 12:00:00</x:v>
      </x:c>
      <x:c r="D60" s="14"/>
      <x:c r="E60" s="14" t="str">
        <x:v>Open</x:v>
      </x:c>
      <x:c r="F60" s="14" t="str">
        <x:v>E029</x:v>
      </x:c>
      <x:c r="G60" s="14" t="str">
        <x:v>AI-created commitment after policy and confidence checks</x:v>
      </x:c>
    </x:row>
    <x:row r="61">
      <x:c r="A61" s="14" t="str">
        <x:v>H000060</x:v>
      </x:c>
      <x:c r="B61" s="14" t="str">
        <x:v>P00022</x:v>
      </x:c>
      <x:c r="C61" s="16" t="str">
        <x:v>2026-04-19 09:00:00</x:v>
      </x:c>
      <x:c r="D61" s="14" t="str">
        <x:v>Open</x:v>
      </x:c>
      <x:c r="E61" s="14" t="str">
        <x:v>In Progress</x:v>
      </x:c>
      <x:c r="F61" s="14" t="str">
        <x:v>E029</x:v>
      </x:c>
      <x:c r="G61" s="14" t="str">
        <x:v>Owner update or workflow transition</x:v>
      </x:c>
    </x:row>
    <x:row r="62">
      <x:c r="A62" s="14" t="str">
        <x:v>H000061</x:v>
      </x:c>
      <x:c r="B62" s="14" t="str">
        <x:v>P00022</x:v>
      </x:c>
      <x:c r="C62" s="16" t="str">
        <x:v>2026-04-21 23:00:00</x:v>
      </x:c>
      <x:c r="D62" s="14" t="str">
        <x:v>In Progress</x:v>
      </x:c>
      <x:c r="E62" s="14" t="str">
        <x:v>Fulfilled</x:v>
      </x:c>
      <x:c r="F62" s="14" t="str">
        <x:v>E029</x:v>
      </x:c>
      <x:c r="G62" s="14" t="str">
        <x:v>System SLA evaluation or owner completion</x:v>
      </x:c>
    </x:row>
    <x:row r="63">
      <x:c r="A63" s="14" t="str">
        <x:v>H000062</x:v>
      </x:c>
      <x:c r="B63" s="14" t="str">
        <x:v>P00023</x:v>
      </x:c>
      <x:c r="C63" s="16" t="str">
        <x:v>2026-01-10 21:00:00</x:v>
      </x:c>
      <x:c r="D63" s="14"/>
      <x:c r="E63" s="14" t="str">
        <x:v>Open</x:v>
      </x:c>
      <x:c r="F63" s="14" t="str">
        <x:v>E034</x:v>
      </x:c>
      <x:c r="G63" s="14" t="str">
        <x:v>AI-created commitment after policy and confidence checks</x:v>
      </x:c>
    </x:row>
    <x:row r="64">
      <x:c r="A64" s="14" t="str">
        <x:v>H000063</x:v>
      </x:c>
      <x:c r="B64" s="14" t="str">
        <x:v>P00023</x:v>
      </x:c>
      <x:c r="C64" s="16" t="str">
        <x:v>2026-01-11 14:00:00</x:v>
      </x:c>
      <x:c r="D64" s="14" t="str">
        <x:v>Open</x:v>
      </x:c>
      <x:c r="E64" s="14" t="str">
        <x:v>In Progress</x:v>
      </x:c>
      <x:c r="F64" s="14" t="str">
        <x:v>E034</x:v>
      </x:c>
      <x:c r="G64" s="14" t="str">
        <x:v>Owner update or workflow transition</x:v>
      </x:c>
    </x:row>
    <x:row r="65">
      <x:c r="A65" s="14" t="str">
        <x:v>H000064</x:v>
      </x:c>
      <x:c r="B65" s="14" t="str">
        <x:v>P00023</x:v>
      </x:c>
      <x:c r="C65" s="16" t="str">
        <x:v>2026-01-15 04:00:00</x:v>
      </x:c>
      <x:c r="D65" s="14" t="str">
        <x:v>In Progress</x:v>
      </x:c>
      <x:c r="E65" s="14" t="str">
        <x:v>Overdue</x:v>
      </x:c>
      <x:c r="F65" s="14" t="str">
        <x:v>E034</x:v>
      </x:c>
      <x:c r="G65" s="14" t="str">
        <x:v>System SLA evaluation or owner completion</x:v>
      </x:c>
    </x:row>
    <x:row r="66">
      <x:c r="A66" s="14" t="str">
        <x:v>H000065</x:v>
      </x:c>
      <x:c r="B66" s="14" t="str">
        <x:v>P00024</x:v>
      </x:c>
      <x:c r="C66" s="16" t="str">
        <x:v>2026-01-31 19:00:00</x:v>
      </x:c>
      <x:c r="D66" s="14"/>
      <x:c r="E66" s="14" t="str">
        <x:v>Open</x:v>
      </x:c>
      <x:c r="F66" s="14" t="str">
        <x:v>E039</x:v>
      </x:c>
      <x:c r="G66" s="14" t="str">
        <x:v>AI-created commitment after policy and confidence checks</x:v>
      </x:c>
    </x:row>
    <x:row r="67">
      <x:c r="A67" s="14" t="str">
        <x:v>H000066</x:v>
      </x:c>
      <x:c r="B67" s="14" t="str">
        <x:v>P00024</x:v>
      </x:c>
      <x:c r="C67" s="16" t="str">
        <x:v>2026-02-01 22:00:00</x:v>
      </x:c>
      <x:c r="D67" s="14" t="str">
        <x:v>Open</x:v>
      </x:c>
      <x:c r="E67" s="14" t="str">
        <x:v>In Progress</x:v>
      </x:c>
      <x:c r="F67" s="14" t="str">
        <x:v>E039</x:v>
      </x:c>
      <x:c r="G67" s="14" t="str">
        <x:v>Owner update or workflow transition</x:v>
      </x:c>
    </x:row>
    <x:row r="68">
      <x:c r="A68" s="14" t="str">
        <x:v>H000067</x:v>
      </x:c>
      <x:c r="B68" s="14" t="str">
        <x:v>P00024</x:v>
      </x:c>
      <x:c r="C68" s="16" t="str">
        <x:v>2026-02-03 10:00:00</x:v>
      </x:c>
      <x:c r="D68" s="14" t="str">
        <x:v>In Progress</x:v>
      </x:c>
      <x:c r="E68" s="14" t="str">
        <x:v>Fulfilled</x:v>
      </x:c>
      <x:c r="F68" s="14" t="str">
        <x:v>E039</x:v>
      </x:c>
      <x:c r="G68" s="14" t="str">
        <x:v>System SLA evaluation or owner completion</x:v>
      </x:c>
    </x:row>
    <x:row r="69">
      <x:c r="A69" s="14" t="str">
        <x:v>H000068</x:v>
      </x:c>
      <x:c r="B69" s="14" t="str">
        <x:v>P00025</x:v>
      </x:c>
      <x:c r="C69" s="16" t="str">
        <x:v>2026-02-23 01:00:00</x:v>
      </x:c>
      <x:c r="D69" s="14"/>
      <x:c r="E69" s="14" t="str">
        <x:v>Open</x:v>
      </x:c>
      <x:c r="F69" s="14" t="str">
        <x:v>E004</x:v>
      </x:c>
      <x:c r="G69" s="14" t="str">
        <x:v>AI-created commitment after policy and confidence checks</x:v>
      </x:c>
    </x:row>
    <x:row r="70">
      <x:c r="A70" s="14" t="str">
        <x:v>H000069</x:v>
      </x:c>
      <x:c r="B70" s="14" t="str">
        <x:v>P00025</x:v>
      </x:c>
      <x:c r="C70" s="16" t="str">
        <x:v>2026-02-23 13:00:00</x:v>
      </x:c>
      <x:c r="D70" s="14" t="str">
        <x:v>Open</x:v>
      </x:c>
      <x:c r="E70" s="14" t="str">
        <x:v>In Progress</x:v>
      </x:c>
      <x:c r="F70" s="14" t="str">
        <x:v>E004</x:v>
      </x:c>
      <x:c r="G70" s="14" t="str">
        <x:v>Owner update or workflow transition</x:v>
      </x:c>
    </x:row>
    <x:row r="71">
      <x:c r="A71" s="14" t="str">
        <x:v>H000070</x:v>
      </x:c>
      <x:c r="B71" s="14" t="str">
        <x:v>P00025</x:v>
      </x:c>
      <x:c r="C71" s="16" t="str">
        <x:v>2026-02-26 03:00:00</x:v>
      </x:c>
      <x:c r="D71" s="14" t="str">
        <x:v>In Progress</x:v>
      </x:c>
      <x:c r="E71" s="14" t="str">
        <x:v>Overdue</x:v>
      </x:c>
      <x:c r="F71" s="14" t="str">
        <x:v>E004</x:v>
      </x:c>
      <x:c r="G71" s="14" t="str">
        <x:v>System SLA evaluation or owner completion</x:v>
      </x:c>
    </x:row>
    <x:row r="72">
      <x:c r="A72" s="14" t="str">
        <x:v>H000071</x:v>
      </x:c>
      <x:c r="B72" s="14" t="str">
        <x:v>P00026</x:v>
      </x:c>
      <x:c r="C72" s="16" t="str">
        <x:v>2026-03-17 07:00:00</x:v>
      </x:c>
      <x:c r="D72" s="14"/>
      <x:c r="E72" s="14" t="str">
        <x:v>Open</x:v>
      </x:c>
      <x:c r="F72" s="14" t="str">
        <x:v>E009</x:v>
      </x:c>
      <x:c r="G72" s="14" t="str">
        <x:v>AI-created commitment after policy and confidence checks</x:v>
      </x:c>
    </x:row>
    <x:row r="73">
      <x:c r="A73" s="14" t="str">
        <x:v>H000072</x:v>
      </x:c>
      <x:c r="B73" s="14" t="str">
        <x:v>P00026</x:v>
      </x:c>
      <x:c r="C73" s="16" t="str">
        <x:v>2026-03-18 02:00:00</x:v>
      </x:c>
      <x:c r="D73" s="14" t="str">
        <x:v>Open</x:v>
      </x:c>
      <x:c r="E73" s="14" t="str">
        <x:v>In Progress</x:v>
      </x:c>
      <x:c r="F73" s="14" t="str">
        <x:v>E009</x:v>
      </x:c>
      <x:c r="G73" s="14" t="str">
        <x:v>Owner update or workflow transition</x:v>
      </x:c>
    </x:row>
    <x:row r="74">
      <x:c r="A74" s="14" t="str">
        <x:v>H000073</x:v>
      </x:c>
      <x:c r="B74" s="14" t="str">
        <x:v>P00026</x:v>
      </x:c>
      <x:c r="C74" s="16" t="str">
        <x:v>2026-03-27 08:00:00</x:v>
      </x:c>
      <x:c r="D74" s="14" t="str">
        <x:v>In Progress</x:v>
      </x:c>
      <x:c r="E74" s="14" t="str">
        <x:v>Fulfilled</x:v>
      </x:c>
      <x:c r="F74" s="14" t="str">
        <x:v>E009</x:v>
      </x:c>
      <x:c r="G74" s="14" t="str">
        <x:v>System SLA evaluation or owner completion</x:v>
      </x:c>
    </x:row>
    <x:row r="75">
      <x:c r="A75" s="14" t="str">
        <x:v>H000074</x:v>
      </x:c>
      <x:c r="B75" s="14" t="str">
        <x:v>P00027</x:v>
      </x:c>
      <x:c r="C75" s="16" t="str">
        <x:v>2026-04-08 17:00:00</x:v>
      </x:c>
      <x:c r="D75" s="14"/>
      <x:c r="E75" s="14" t="str">
        <x:v>Open</x:v>
      </x:c>
      <x:c r="F75" s="14" t="str">
        <x:v>E014</x:v>
      </x:c>
      <x:c r="G75" s="14" t="str">
        <x:v>AI-created commitment after policy and confidence checks</x:v>
      </x:c>
    </x:row>
    <x:row r="76">
      <x:c r="A76" s="14" t="str">
        <x:v>H000075</x:v>
      </x:c>
      <x:c r="B76" s="14" t="str">
        <x:v>P00027</x:v>
      </x:c>
      <x:c r="C76" s="16" t="str">
        <x:v>2026-04-09 12:00:00</x:v>
      </x:c>
      <x:c r="D76" s="14" t="str">
        <x:v>Open</x:v>
      </x:c>
      <x:c r="E76" s="14" t="str">
        <x:v>In Progress</x:v>
      </x:c>
      <x:c r="F76" s="14" t="str">
        <x:v>E014</x:v>
      </x:c>
      <x:c r="G76" s="14" t="str">
        <x:v>Owner update or workflow transition</x:v>
      </x:c>
    </x:row>
    <x:row r="77">
      <x:c r="A77" s="14" t="str">
        <x:v>H000076</x:v>
      </x:c>
      <x:c r="B77" s="14" t="str">
        <x:v>P00027</x:v>
      </x:c>
      <x:c r="C77" s="16" t="str">
        <x:v>2026-04-11 23:00:00</x:v>
      </x:c>
      <x:c r="D77" s="14" t="str">
        <x:v>In Progress</x:v>
      </x:c>
      <x:c r="E77" s="14" t="str">
        <x:v>Fulfilled</x:v>
      </x:c>
      <x:c r="F77" s="14" t="str">
        <x:v>E014</x:v>
      </x:c>
      <x:c r="G77" s="14" t="str">
        <x:v>System SLA evaluation or owner completion</x:v>
      </x:c>
    </x:row>
    <x:row r="78">
      <x:c r="A78" s="14" t="str">
        <x:v>H000077</x:v>
      </x:c>
      <x:c r="B78" s="14" t="str">
        <x:v>P00028</x:v>
      </x:c>
      <x:c r="C78" s="16" t="str">
        <x:v>2026-04-29 12:00:00</x:v>
      </x:c>
      <x:c r="D78" s="14"/>
      <x:c r="E78" s="14" t="str">
        <x:v>Open</x:v>
      </x:c>
      <x:c r="F78" s="14" t="str">
        <x:v>E019</x:v>
      </x:c>
      <x:c r="G78" s="14" t="str">
        <x:v>AI-created commitment after policy and confidence checks</x:v>
      </x:c>
    </x:row>
    <x:row r="79">
      <x:c r="A79" s="14" t="str">
        <x:v>H000078</x:v>
      </x:c>
      <x:c r="B79" s="14" t="str">
        <x:v>P00028</x:v>
      </x:c>
      <x:c r="C79" s="16" t="str">
        <x:v>2026-04-30 04:00:00</x:v>
      </x:c>
      <x:c r="D79" s="14" t="str">
        <x:v>Open</x:v>
      </x:c>
      <x:c r="E79" s="14" t="str">
        <x:v>In Progress</x:v>
      </x:c>
      <x:c r="F79" s="14" t="str">
        <x:v>E019</x:v>
      </x:c>
      <x:c r="G79" s="14" t="str">
        <x:v>Owner update or workflow transition</x:v>
      </x:c>
    </x:row>
    <x:row r="80">
      <x:c r="A80" s="14" t="str">
        <x:v>H000079</x:v>
      </x:c>
      <x:c r="B80" s="14" t="str">
        <x:v>P00028</x:v>
      </x:c>
      <x:c r="C80" s="16" t="str">
        <x:v>2026-05-01 14:00:00</x:v>
      </x:c>
      <x:c r="D80" s="14" t="str">
        <x:v>In Progress</x:v>
      </x:c>
      <x:c r="E80" s="14" t="str">
        <x:v>Fulfilled</x:v>
      </x:c>
      <x:c r="F80" s="14" t="str">
        <x:v>E019</x:v>
      </x:c>
      <x:c r="G80" s="14" t="str">
        <x:v>System SLA evaluation or owner completion</x:v>
      </x:c>
    </x:row>
    <x:row r="81">
      <x:c r="A81" s="14" t="str">
        <x:v>H000080</x:v>
      </x:c>
      <x:c r="B81" s="14" t="str">
        <x:v>P00029</x:v>
      </x:c>
      <x:c r="C81" s="16" t="str">
        <x:v>2026-01-21 18:00:00</x:v>
      </x:c>
      <x:c r="D81" s="14"/>
      <x:c r="E81" s="14" t="str">
        <x:v>Open</x:v>
      </x:c>
      <x:c r="F81" s="14" t="str">
        <x:v>E024</x:v>
      </x:c>
      <x:c r="G81" s="14" t="str">
        <x:v>AI-created commitment after policy and confidence checks</x:v>
      </x:c>
    </x:row>
    <x:row r="82">
      <x:c r="A82" s="14" t="str">
        <x:v>H000081</x:v>
      </x:c>
      <x:c r="B82" s="14" t="str">
        <x:v>P00029</x:v>
      </x:c>
      <x:c r="C82" s="16" t="str">
        <x:v>2026-01-22 02:00:00</x:v>
      </x:c>
      <x:c r="D82" s="14" t="str">
        <x:v>Open</x:v>
      </x:c>
      <x:c r="E82" s="14" t="str">
        <x:v>Reassigned</x:v>
      </x:c>
      <x:c r="F82" s="14" t="str">
        <x:v>E024</x:v>
      </x:c>
      <x:c r="G82" s="14" t="str">
        <x:v>Owner update or workflow transition</x:v>
      </x:c>
    </x:row>
    <x:row r="83">
      <x:c r="A83" s="14" t="str">
        <x:v>H000082</x:v>
      </x:c>
      <x:c r="B83" s="14" t="str">
        <x:v>P00030</x:v>
      </x:c>
      <x:c r="C83" s="16" t="str">
        <x:v>2026-02-13 09:00:00</x:v>
      </x:c>
      <x:c r="D83" s="14"/>
      <x:c r="E83" s="14" t="str">
        <x:v>Open</x:v>
      </x:c>
      <x:c r="F83" s="14" t="str">
        <x:v>E029</x:v>
      </x:c>
      <x:c r="G83" s="14" t="str">
        <x:v>AI-created commitment after policy and confidence checks</x:v>
      </x:c>
    </x:row>
    <x:row r="84">
      <x:c r="A84" s="14" t="str">
        <x:v>H000083</x:v>
      </x:c>
      <x:c r="B84" s="14" t="str">
        <x:v>P00030</x:v>
      </x:c>
      <x:c r="C84" s="16" t="str">
        <x:v>2026-02-14 14:00:00</x:v>
      </x:c>
      <x:c r="D84" s="14" t="str">
        <x:v>Open</x:v>
      </x:c>
      <x:c r="E84" s="14" t="str">
        <x:v>Reassigned</x:v>
      </x:c>
      <x:c r="F84" s="14" t="str">
        <x:v>E029</x:v>
      </x:c>
      <x:c r="G84" s="14" t="str">
        <x:v>Owner update or workflow transition</x:v>
      </x:c>
    </x:row>
    <x:row r="85">
      <x:c r="A85" s="14" t="str">
        <x:v>H000084</x:v>
      </x:c>
      <x:c r="B85" s="14" t="str">
        <x:v>P00031</x:v>
      </x:c>
      <x:c r="C85" s="16" t="str">
        <x:v>2026-03-07 13:00:00</x:v>
      </x:c>
      <x:c r="D85" s="14"/>
      <x:c r="E85" s="14" t="str">
        <x:v>Open</x:v>
      </x:c>
      <x:c r="F85" s="14" t="str">
        <x:v>E034</x:v>
      </x:c>
      <x:c r="G85" s="14" t="str">
        <x:v>AI-created commitment after policy and confidence checks</x:v>
      </x:c>
    </x:row>
    <x:row r="86">
      <x:c r="A86" s="14" t="str">
        <x:v>H000085</x:v>
      </x:c>
      <x:c r="B86" s="14" t="str">
        <x:v>P00031</x:v>
      </x:c>
      <x:c r="C86" s="16" t="str">
        <x:v>2026-03-07 22:00:00</x:v>
      </x:c>
      <x:c r="D86" s="14" t="str">
        <x:v>Open</x:v>
      </x:c>
      <x:c r="E86" s="14" t="str">
        <x:v>In Progress</x:v>
      </x:c>
      <x:c r="F86" s="14" t="str">
        <x:v>E034</x:v>
      </x:c>
      <x:c r="G86" s="14" t="str">
        <x:v>Owner update or workflow transition</x:v>
      </x:c>
    </x:row>
    <x:row r="87">
      <x:c r="A87" s="14" t="str">
        <x:v>H000086</x:v>
      </x:c>
      <x:c r="B87" s="14" t="str">
        <x:v>P00031</x:v>
      </x:c>
      <x:c r="C87" s="16" t="str">
        <x:v>2026-03-11 07:00:00</x:v>
      </x:c>
      <x:c r="D87" s="14" t="str">
        <x:v>In Progress</x:v>
      </x:c>
      <x:c r="E87" s="14" t="str">
        <x:v>Fulfilled</x:v>
      </x:c>
      <x:c r="F87" s="14" t="str">
        <x:v>E034</x:v>
      </x:c>
      <x:c r="G87" s="14" t="str">
        <x:v>System SLA evaluation or owner completion</x:v>
      </x:c>
    </x:row>
    <x:row r="88">
      <x:c r="A88" s="14" t="str">
        <x:v>H000087</x:v>
      </x:c>
      <x:c r="B88" s="14" t="str">
        <x:v>P00032</x:v>
      </x:c>
      <x:c r="C88" s="16" t="str">
        <x:v>2026-03-30 01:00:00</x:v>
      </x:c>
      <x:c r="D88" s="14"/>
      <x:c r="E88" s="14" t="str">
        <x:v>Open</x:v>
      </x:c>
      <x:c r="F88" s="14" t="str">
        <x:v>E039</x:v>
      </x:c>
      <x:c r="G88" s="14" t="str">
        <x:v>AI-created commitment after policy and confidence checks</x:v>
      </x:c>
    </x:row>
    <x:row r="89">
      <x:c r="A89" s="14" t="str">
        <x:v>H000088</x:v>
      </x:c>
      <x:c r="B89" s="14" t="str">
        <x:v>P00032</x:v>
      </x:c>
      <x:c r="C89" s="16" t="str">
        <x:v>2026-03-31 05:00:00</x:v>
      </x:c>
      <x:c r="D89" s="14" t="str">
        <x:v>Open</x:v>
      </x:c>
      <x:c r="E89" s="14" t="str">
        <x:v>In Progress</x:v>
      </x:c>
      <x:c r="F89" s="14" t="str">
        <x:v>E039</x:v>
      </x:c>
      <x:c r="G89" s="14" t="str">
        <x:v>Owner update or workflow transition</x:v>
      </x:c>
    </x:row>
    <x:row r="90">
      <x:c r="A90" s="14" t="str">
        <x:v>H000089</x:v>
      </x:c>
      <x:c r="B90" s="14" t="str">
        <x:v>P00032</x:v>
      </x:c>
      <x:c r="C90" s="16" t="str">
        <x:v>2026-04-01 17:00:00</x:v>
      </x:c>
      <x:c r="D90" s="14" t="str">
        <x:v>In Progress</x:v>
      </x:c>
      <x:c r="E90" s="14" t="str">
        <x:v>Overdue</x:v>
      </x:c>
      <x:c r="F90" s="14" t="str">
        <x:v>E039</x:v>
      </x:c>
      <x:c r="G90" s="14" t="str">
        <x:v>System SLA evaluation or owner completion</x:v>
      </x:c>
    </x:row>
    <x:row r="91">
      <x:c r="A91" s="14" t="str">
        <x:v>H000090</x:v>
      </x:c>
      <x:c r="B91" s="14" t="str">
        <x:v>P00033</x:v>
      </x:c>
      <x:c r="C91" s="16" t="str">
        <x:v>2026-04-19 17:00:00</x:v>
      </x:c>
      <x:c r="D91" s="14"/>
      <x:c r="E91" s="14" t="str">
        <x:v>Open</x:v>
      </x:c>
      <x:c r="F91" s="14" t="str">
        <x:v>E004</x:v>
      </x:c>
      <x:c r="G91" s="14" t="str">
        <x:v>AI-created commitment after policy and confidence checks</x:v>
      </x:c>
    </x:row>
    <x:row r="92">
      <x:c r="A92" s="14" t="str">
        <x:v>H000091</x:v>
      </x:c>
      <x:c r="B92" s="14" t="str">
        <x:v>P00033</x:v>
      </x:c>
      <x:c r="C92" s="16" t="str">
        <x:v>2026-04-20 00:00:00</x:v>
      </x:c>
      <x:c r="D92" s="14" t="str">
        <x:v>Open</x:v>
      </x:c>
      <x:c r="E92" s="14" t="str">
        <x:v>In Progress</x:v>
      </x:c>
      <x:c r="F92" s="14" t="str">
        <x:v>E004</x:v>
      </x:c>
      <x:c r="G92" s="14" t="str">
        <x:v>Owner update or workflow transition</x:v>
      </x:c>
    </x:row>
    <x:row r="93">
      <x:c r="A93" s="14" t="str">
        <x:v>H000092</x:v>
      </x:c>
      <x:c r="B93" s="14" t="str">
        <x:v>P00033</x:v>
      </x:c>
      <x:c r="C93" s="16" t="str">
        <x:v>2026-04-27 11:00:00</x:v>
      </x:c>
      <x:c r="D93" s="14" t="str">
        <x:v>In Progress</x:v>
      </x:c>
      <x:c r="E93" s="14" t="str">
        <x:v>Overdue</x:v>
      </x:c>
      <x:c r="F93" s="14" t="str">
        <x:v>E004</x:v>
      </x:c>
      <x:c r="G93" s="14" t="str">
        <x:v>System SLA evaluation or owner completion</x:v>
      </x:c>
    </x:row>
    <x:row r="94">
      <x:c r="A94" s="14" t="str">
        <x:v>H000093</x:v>
      </x:c>
      <x:c r="B94" s="14" t="str">
        <x:v>P00034</x:v>
      </x:c>
      <x:c r="C94" s="16" t="str">
        <x:v>2026-01-12 00:00:00</x:v>
      </x:c>
      <x:c r="D94" s="14"/>
      <x:c r="E94" s="14" t="str">
        <x:v>Open</x:v>
      </x:c>
      <x:c r="F94" s="14" t="str">
        <x:v>E009</x:v>
      </x:c>
      <x:c r="G94" s="14" t="str">
        <x:v>AI-created commitment after policy and confidence checks</x:v>
      </x:c>
    </x:row>
    <x:row r="95">
      <x:c r="A95" s="14" t="str">
        <x:v>H000094</x:v>
      </x:c>
      <x:c r="B95" s="14" t="str">
        <x:v>P00034</x:v>
      </x:c>
      <x:c r="C95" s="16" t="str">
        <x:v>2026-01-12 04:00:00</x:v>
      </x:c>
      <x:c r="D95" s="14" t="str">
        <x:v>Open</x:v>
      </x:c>
      <x:c r="E95" s="14" t="str">
        <x:v>In Progress</x:v>
      </x:c>
      <x:c r="F95" s="14" t="str">
        <x:v>E009</x:v>
      </x:c>
      <x:c r="G95" s="14" t="str">
        <x:v>Owner update or workflow transition</x:v>
      </x:c>
    </x:row>
    <x:row r="96">
      <x:c r="A96" s="14" t="str">
        <x:v>H000095</x:v>
      </x:c>
      <x:c r="B96" s="14" t="str">
        <x:v>P00034</x:v>
      </x:c>
      <x:c r="C96" s="16" t="str">
        <x:v>2026-01-14 19:00:00</x:v>
      </x:c>
      <x:c r="D96" s="14" t="str">
        <x:v>In Progress</x:v>
      </x:c>
      <x:c r="E96" s="14" t="str">
        <x:v>Escalated</x:v>
      </x:c>
      <x:c r="F96" s="14" t="str">
        <x:v>E009</x:v>
      </x:c>
      <x:c r="G96" s="14" t="str">
        <x:v>System SLA evaluation or owner completion</x:v>
      </x:c>
    </x:row>
    <x:row r="97">
      <x:c r="A97" s="14" t="str">
        <x:v>H000096</x:v>
      </x:c>
      <x:c r="B97" s="14" t="str">
        <x:v>P00035</x:v>
      </x:c>
      <x:c r="C97" s="16" t="str">
        <x:v>2026-02-03 06:00:00</x:v>
      </x:c>
      <x:c r="D97" s="14"/>
      <x:c r="E97" s="14" t="str">
        <x:v>Open</x:v>
      </x:c>
      <x:c r="F97" s="14" t="str">
        <x:v>E014</x:v>
      </x:c>
      <x:c r="G97" s="14" t="str">
        <x:v>AI-created commitment after policy and confidence checks</x:v>
      </x:c>
    </x:row>
    <x:row r="98">
      <x:c r="A98" s="14" t="str">
        <x:v>H000097</x:v>
      </x:c>
      <x:c r="B98" s="14" t="str">
        <x:v>P00035</x:v>
      </x:c>
      <x:c r="C98" s="16" t="str">
        <x:v>2026-02-04 00:00:00</x:v>
      </x:c>
      <x:c r="D98" s="14" t="str">
        <x:v>Open</x:v>
      </x:c>
      <x:c r="E98" s="14" t="str">
        <x:v>In Progress</x:v>
      </x:c>
      <x:c r="F98" s="14" t="str">
        <x:v>E014</x:v>
      </x:c>
      <x:c r="G98" s="14" t="str">
        <x:v>Owner update or workflow transition</x:v>
      </x:c>
    </x:row>
    <x:row r="99">
      <x:c r="A99" s="14" t="str">
        <x:v>H000098</x:v>
      </x:c>
      <x:c r="B99" s="14" t="str">
        <x:v>P00035</x:v>
      </x:c>
      <x:c r="C99" s="16" t="str">
        <x:v>2026-02-08 23:00:00</x:v>
      </x:c>
      <x:c r="D99" s="14" t="str">
        <x:v>In Progress</x:v>
      </x:c>
      <x:c r="E99" s="14" t="str">
        <x:v>Fulfilled</x:v>
      </x:c>
      <x:c r="F99" s="14" t="str">
        <x:v>E014</x:v>
      </x:c>
      <x:c r="G99" s="14" t="str">
        <x:v>System SLA evaluation or owner completion</x:v>
      </x:c>
    </x:row>
    <x:row r="100">
      <x:c r="A100" s="14" t="str">
        <x:v>H000099</x:v>
      </x:c>
      <x:c r="B100" s="14" t="str">
        <x:v>P00036</x:v>
      </x:c>
      <x:c r="C100" s="16" t="str">
        <x:v>2026-02-25 19:00:00</x:v>
      </x:c>
      <x:c r="D100" s="14"/>
      <x:c r="E100" s="14" t="str">
        <x:v>Open</x:v>
      </x:c>
      <x:c r="F100" s="14" t="str">
        <x:v>E019</x:v>
      </x:c>
      <x:c r="G100" s="14" t="str">
        <x:v>AI-created commitment after policy and confidence checks</x:v>
      </x:c>
    </x:row>
    <x:row r="101">
      <x:c r="A101" s="14" t="str">
        <x:v>H000100</x:v>
      </x:c>
      <x:c r="B101" s="14" t="str">
        <x:v>P00036</x:v>
      </x:c>
      <x:c r="C101" s="16" t="str">
        <x:v>2026-02-27 01:00:00</x:v>
      </x:c>
      <x:c r="D101" s="14" t="str">
        <x:v>Open</x:v>
      </x:c>
      <x:c r="E101" s="14" t="str">
        <x:v>In Progress</x:v>
      </x:c>
      <x:c r="F101" s="14" t="str">
        <x:v>E019</x:v>
      </x:c>
      <x:c r="G101" s="14" t="str">
        <x:v>Owner update or workflow transition</x:v>
      </x:c>
    </x:row>
    <x:row r="102">
      <x:c r="A102" s="14" t="str">
        <x:v>H000101</x:v>
      </x:c>
      <x:c r="B102" s="14" t="str">
        <x:v>P00036</x:v>
      </x:c>
      <x:c r="C102" s="16" t="str">
        <x:v>2026-02-27 20:00:00</x:v>
      </x:c>
      <x:c r="D102" s="14" t="str">
        <x:v>In Progress</x:v>
      </x:c>
      <x:c r="E102" s="14" t="str">
        <x:v>Escalated</x:v>
      </x:c>
      <x:c r="F102" s="14" t="str">
        <x:v>E019</x:v>
      </x:c>
      <x:c r="G102" s="14" t="str">
        <x:v>System SLA evaluation or owner completion</x:v>
      </x:c>
    </x:row>
    <x:row r="103">
      <x:c r="A103" s="14" t="str">
        <x:v>H000102</x:v>
      </x:c>
      <x:c r="B103" s="14" t="str">
        <x:v>P00037</x:v>
      </x:c>
      <x:c r="C103" s="16" t="str">
        <x:v>2026-03-18 13:00:00</x:v>
      </x:c>
      <x:c r="D103" s="14"/>
      <x:c r="E103" s="14" t="str">
        <x:v>Open</x:v>
      </x:c>
      <x:c r="F103" s="14" t="str">
        <x:v>E024</x:v>
      </x:c>
      <x:c r="G103" s="14" t="str">
        <x:v>AI-created commitment after policy and confidence checks</x:v>
      </x:c>
    </x:row>
    <x:row r="104">
      <x:c r="A104" s="14" t="str">
        <x:v>H000103</x:v>
      </x:c>
      <x:c r="B104" s="14" t="str">
        <x:v>P00037</x:v>
      </x:c>
      <x:c r="C104" s="16" t="str">
        <x:v>2026-03-19 09:00:00</x:v>
      </x:c>
      <x:c r="D104" s="14" t="str">
        <x:v>Open</x:v>
      </x:c>
      <x:c r="E104" s="14" t="str">
        <x:v>In Progress</x:v>
      </x:c>
      <x:c r="F104" s="14" t="str">
        <x:v>E024</x:v>
      </x:c>
      <x:c r="G104" s="14" t="str">
        <x:v>Owner update or workflow transition</x:v>
      </x:c>
    </x:row>
    <x:row r="105">
      <x:c r="A105" s="14" t="str">
        <x:v>H000104</x:v>
      </x:c>
      <x:c r="B105" s="14" t="str">
        <x:v>P00037</x:v>
      </x:c>
      <x:c r="C105" s="16" t="str">
        <x:v>2026-03-21 21:00:00</x:v>
      </x:c>
      <x:c r="D105" s="14" t="str">
        <x:v>In Progress</x:v>
      </x:c>
      <x:c r="E105" s="14" t="str">
        <x:v>Overdue</x:v>
      </x:c>
      <x:c r="F105" s="14" t="str">
        <x:v>E024</x:v>
      </x:c>
      <x:c r="G105" s="14" t="str">
        <x:v>System SLA evaluation or owner completion</x:v>
      </x:c>
    </x:row>
    <x:row r="106">
      <x:c r="A106" s="14" t="str">
        <x:v>H000105</x:v>
      </x:c>
      <x:c r="B106" s="14" t="str">
        <x:v>P00038</x:v>
      </x:c>
      <x:c r="C106" s="16" t="str">
        <x:v>2026-04-09 22:00:00</x:v>
      </x:c>
      <x:c r="D106" s="14"/>
      <x:c r="E106" s="14" t="str">
        <x:v>Open</x:v>
      </x:c>
      <x:c r="F106" s="14" t="str">
        <x:v>E029</x:v>
      </x:c>
      <x:c r="G106" s="14" t="str">
        <x:v>AI-created commitment after policy and confidence checks</x:v>
      </x:c>
    </x:row>
    <x:row r="107">
      <x:c r="A107" s="14" t="str">
        <x:v>H000106</x:v>
      </x:c>
      <x:c r="B107" s="14" t="str">
        <x:v>P00038</x:v>
      </x:c>
      <x:c r="C107" s="16" t="str">
        <x:v>2026-04-10 23:00:00</x:v>
      </x:c>
      <x:c r="D107" s="14" t="str">
        <x:v>Open</x:v>
      </x:c>
      <x:c r="E107" s="14" t="str">
        <x:v>In Progress</x:v>
      </x:c>
      <x:c r="F107" s="14" t="str">
        <x:v>E029</x:v>
      </x:c>
      <x:c r="G107" s="14" t="str">
        <x:v>Owner update or workflow transition</x:v>
      </x:c>
    </x:row>
    <x:row r="108">
      <x:c r="A108" s="14" t="str">
        <x:v>H000107</x:v>
      </x:c>
      <x:c r="B108" s="14" t="str">
        <x:v>P00038</x:v>
      </x:c>
      <x:c r="C108" s="16" t="str">
        <x:v>2026-04-15 10:00:00</x:v>
      </x:c>
      <x:c r="D108" s="14" t="str">
        <x:v>In Progress</x:v>
      </x:c>
      <x:c r="E108" s="14" t="str">
        <x:v>Fulfilled</x:v>
      </x:c>
      <x:c r="F108" s="14" t="str">
        <x:v>E029</x:v>
      </x:c>
      <x:c r="G108" s="14" t="str">
        <x:v>System SLA evaluation or owner completion</x:v>
      </x:c>
    </x:row>
    <x:row r="109">
      <x:c r="A109" s="14" t="str">
        <x:v>H000108</x:v>
      </x:c>
      <x:c r="B109" s="14" t="str">
        <x:v>P00039</x:v>
      </x:c>
      <x:c r="C109" s="16" t="str">
        <x:v>2026-05-02 03:00:00</x:v>
      </x:c>
      <x:c r="D109" s="14"/>
      <x:c r="E109" s="14" t="str">
        <x:v>Open</x:v>
      </x:c>
      <x:c r="F109" s="14" t="str">
        <x:v>E034</x:v>
      </x:c>
      <x:c r="G109" s="14" t="str">
        <x:v>AI-created commitment after policy and confidence checks</x:v>
      </x:c>
    </x:row>
    <x:row r="110">
      <x:c r="A110" s="14" t="str">
        <x:v>H000109</x:v>
      </x:c>
      <x:c r="B110" s="14" t="str">
        <x:v>P00039</x:v>
      </x:c>
      <x:c r="C110" s="16" t="str">
        <x:v>2026-05-03 09:00:00</x:v>
      </x:c>
      <x:c r="D110" s="14" t="str">
        <x:v>Open</x:v>
      </x:c>
      <x:c r="E110" s="14" t="str">
        <x:v>Reassigned</x:v>
      </x:c>
      <x:c r="F110" s="14" t="str">
        <x:v>E034</x:v>
      </x:c>
      <x:c r="G110" s="14" t="str">
        <x:v>Owner update or workflow transition</x:v>
      </x:c>
    </x:row>
    <x:row r="111">
      <x:c r="A111" s="14" t="str">
        <x:v>H000110</x:v>
      </x:c>
      <x:c r="B111" s="14" t="str">
        <x:v>P00040</x:v>
      </x:c>
      <x:c r="C111" s="16" t="str">
        <x:v>2026-01-24 11:00:00</x:v>
      </x:c>
      <x:c r="D111" s="14"/>
      <x:c r="E111" s="14" t="str">
        <x:v>Open</x:v>
      </x:c>
      <x:c r="F111" s="14" t="str">
        <x:v>E039</x:v>
      </x:c>
      <x:c r="G111" s="14" t="str">
        <x:v>AI-created commitment after policy and confidence checks</x:v>
      </x:c>
    </x:row>
    <x:row r="112">
      <x:c r="A112" s="14" t="str">
        <x:v>H000111</x:v>
      </x:c>
      <x:c r="B112" s="14" t="str">
        <x:v>P00040</x:v>
      </x:c>
      <x:c r="C112" s="16" t="str">
        <x:v>2026-01-25 06:00:00</x:v>
      </x:c>
      <x:c r="D112" s="14" t="str">
        <x:v>Open</x:v>
      </x:c>
      <x:c r="E112" s="14" t="str">
        <x:v>In Progress</x:v>
      </x:c>
      <x:c r="F112" s="14" t="str">
        <x:v>E039</x:v>
      </x:c>
      <x:c r="G112" s="14" t="str">
        <x:v>Owner update or workflow transition</x:v>
      </x:c>
    </x:row>
    <x:row r="113">
      <x:c r="A113" s="14" t="str">
        <x:v>H000112</x:v>
      </x:c>
      <x:c r="B113" s="14" t="str">
        <x:v>P00040</x:v>
      </x:c>
      <x:c r="C113" s="16" t="str">
        <x:v>2026-02-03 20:00:00</x:v>
      </x:c>
      <x:c r="D113" s="14" t="str">
        <x:v>In Progress</x:v>
      </x:c>
      <x:c r="E113" s="14" t="str">
        <x:v>Overdue</x:v>
      </x:c>
      <x:c r="F113" s="14" t="str">
        <x:v>E039</x:v>
      </x:c>
      <x:c r="G113" s="14" t="str">
        <x:v>System SLA evaluation or owner completion</x:v>
      </x:c>
    </x:row>
    <x:row r="114">
      <x:c r="A114" s="14" t="str">
        <x:v>H000113</x:v>
      </x:c>
      <x:c r="B114" s="14" t="str">
        <x:v>P00041</x:v>
      </x:c>
      <x:c r="C114" s="16" t="str">
        <x:v>2026-02-15 23:00:00</x:v>
      </x:c>
      <x:c r="D114" s="14"/>
      <x:c r="E114" s="14" t="str">
        <x:v>Open</x:v>
      </x:c>
      <x:c r="F114" s="14" t="str">
        <x:v>E004</x:v>
      </x:c>
      <x:c r="G114" s="14" t="str">
        <x:v>AI-created commitment after policy and confidence checks</x:v>
      </x:c>
    </x:row>
    <x:row r="115">
      <x:c r="A115" s="14" t="str">
        <x:v>H000114</x:v>
      </x:c>
      <x:c r="B115" s="14" t="str">
        <x:v>P00041</x:v>
      </x:c>
      <x:c r="C115" s="16" t="str">
        <x:v>2026-02-16 11:00:00</x:v>
      </x:c>
      <x:c r="D115" s="14" t="str">
        <x:v>Open</x:v>
      </x:c>
      <x:c r="E115" s="14" t="str">
        <x:v>Reassigned</x:v>
      </x:c>
      <x:c r="F115" s="14" t="str">
        <x:v>E004</x:v>
      </x:c>
      <x:c r="G115" s="14" t="str">
        <x:v>Owner update or workflow transition</x:v>
      </x:c>
    </x:row>
    <x:row r="116">
      <x:c r="A116" s="14" t="str">
        <x:v>H000115</x:v>
      </x:c>
      <x:c r="B116" s="14" t="str">
        <x:v>P00042</x:v>
      </x:c>
      <x:c r="C116" s="16" t="str">
        <x:v>2026-03-08 19:00:00</x:v>
      </x:c>
      <x:c r="D116" s="14"/>
      <x:c r="E116" s="14" t="str">
        <x:v>Open</x:v>
      </x:c>
      <x:c r="F116" s="14" t="str">
        <x:v>E009</x:v>
      </x:c>
      <x:c r="G116" s="14" t="str">
        <x:v>AI-created commitment after policy and confidence checks</x:v>
      </x:c>
    </x:row>
    <x:row r="117">
      <x:c r="A117" s="14" t="str">
        <x:v>H000116</x:v>
      </x:c>
      <x:c r="B117" s="14" t="str">
        <x:v>P00042</x:v>
      </x:c>
      <x:c r="C117" s="16" t="str">
        <x:v>2026-03-09 00:00:00</x:v>
      </x:c>
      <x:c r="D117" s="14" t="str">
        <x:v>Open</x:v>
      </x:c>
      <x:c r="E117" s="14" t="str">
        <x:v>In Progress</x:v>
      </x:c>
      <x:c r="F117" s="14" t="str">
        <x:v>E009</x:v>
      </x:c>
      <x:c r="G117" s="14" t="str">
        <x:v>Owner update or workflow transition</x:v>
      </x:c>
    </x:row>
    <x:row r="118">
      <x:c r="A118" s="14" t="str">
        <x:v>H000117</x:v>
      </x:c>
      <x:c r="B118" s="14" t="str">
        <x:v>P00042</x:v>
      </x:c>
      <x:c r="C118" s="16" t="str">
        <x:v>2026-03-20 19:00:00</x:v>
      </x:c>
      <x:c r="D118" s="14" t="str">
        <x:v>In Progress</x:v>
      </x:c>
      <x:c r="E118" s="14" t="str">
        <x:v>Fulfilled</x:v>
      </x:c>
      <x:c r="F118" s="14" t="str">
        <x:v>E009</x:v>
      </x:c>
      <x:c r="G118" s="14" t="str">
        <x:v>System SLA evaluation or owner completion</x:v>
      </x:c>
    </x:row>
    <x:row r="119">
      <x:c r="A119" s="14" t="str">
        <x:v>H000118</x:v>
      </x:c>
      <x:c r="B119" s="14" t="str">
        <x:v>P00043</x:v>
      </x:c>
      <x:c r="C119" s="16" t="str">
        <x:v>2026-03-30 23:00:00</x:v>
      </x:c>
      <x:c r="D119" s="14"/>
      <x:c r="E119" s="14" t="str">
        <x:v>Open</x:v>
      </x:c>
      <x:c r="F119" s="14" t="str">
        <x:v>E014</x:v>
      </x:c>
      <x:c r="G119" s="14" t="str">
        <x:v>AI-created commitment after policy and confidence checks</x:v>
      </x:c>
    </x:row>
    <x:row r="120">
      <x:c r="A120" s="14" t="str">
        <x:v>H000119</x:v>
      </x:c>
      <x:c r="B120" s="14" t="str">
        <x:v>P00043</x:v>
      </x:c>
      <x:c r="C120" s="16" t="str">
        <x:v>2026-04-01 02:00:00</x:v>
      </x:c>
      <x:c r="D120" s="14" t="str">
        <x:v>Open</x:v>
      </x:c>
      <x:c r="E120" s="14" t="str">
        <x:v>In Progress</x:v>
      </x:c>
      <x:c r="F120" s="14" t="str">
        <x:v>E014</x:v>
      </x:c>
      <x:c r="G120" s="14" t="str">
        <x:v>Owner update or workflow transition</x:v>
      </x:c>
    </x:row>
    <x:row r="121">
      <x:c r="A121" s="14" t="str">
        <x:v>H000120</x:v>
      </x:c>
      <x:c r="B121" s="14" t="str">
        <x:v>P00043</x:v>
      </x:c>
      <x:c r="C121" s="16" t="str">
        <x:v>2026-04-04 11:00:00</x:v>
      </x:c>
      <x:c r="D121" s="14" t="str">
        <x:v>In Progress</x:v>
      </x:c>
      <x:c r="E121" s="14" t="str">
        <x:v>Escalated</x:v>
      </x:c>
      <x:c r="F121" s="14" t="str">
        <x:v>E014</x:v>
      </x:c>
      <x:c r="G121" s="14" t="str">
        <x:v>System SLA evaluation or owner completion</x:v>
      </x:c>
    </x:row>
    <x:row r="122">
      <x:c r="A122" s="14" t="str">
        <x:v>H000121</x:v>
      </x:c>
      <x:c r="B122" s="14" t="str">
        <x:v>P00044</x:v>
      </x:c>
      <x:c r="C122" s="16" t="str">
        <x:v>2026-04-22 10:00:00</x:v>
      </x:c>
      <x:c r="D122" s="14"/>
      <x:c r="E122" s="14" t="str">
        <x:v>Open</x:v>
      </x:c>
      <x:c r="F122" s="14" t="str">
        <x:v>E019</x:v>
      </x:c>
      <x:c r="G122" s="14" t="str">
        <x:v>AI-created commitment after policy and confidence checks</x:v>
      </x:c>
    </x:row>
    <x:row r="123">
      <x:c r="A123" s="14" t="str">
        <x:v>H000122</x:v>
      </x:c>
      <x:c r="B123" s="14" t="str">
        <x:v>P00044</x:v>
      </x:c>
      <x:c r="C123" s="16" t="str">
        <x:v>2026-04-22 21:00:00</x:v>
      </x:c>
      <x:c r="D123" s="14" t="str">
        <x:v>Open</x:v>
      </x:c>
      <x:c r="E123" s="14" t="str">
        <x:v>In Progress</x:v>
      </x:c>
      <x:c r="F123" s="14" t="str">
        <x:v>E019</x:v>
      </x:c>
      <x:c r="G123" s="14" t="str">
        <x:v>Owner update or workflow transition</x:v>
      </x:c>
    </x:row>
    <x:row r="124">
      <x:c r="A124" s="14" t="str">
        <x:v>H000123</x:v>
      </x:c>
      <x:c r="B124" s="14" t="str">
        <x:v>P00044</x:v>
      </x:c>
      <x:c r="C124" s="16" t="str">
        <x:v>2026-05-02 15:00:00</x:v>
      </x:c>
      <x:c r="D124" s="14" t="str">
        <x:v>In Progress</x:v>
      </x:c>
      <x:c r="E124" s="14" t="str">
        <x:v>Fulfilled</x:v>
      </x:c>
      <x:c r="F124" s="14" t="str">
        <x:v>E019</x:v>
      </x:c>
      <x:c r="G124" s="14" t="str">
        <x:v>System SLA evaluation or owner completion</x:v>
      </x:c>
    </x:row>
    <x:row r="125">
      <x:c r="A125" s="14" t="str">
        <x:v>H000124</x:v>
      </x:c>
      <x:c r="B125" s="14" t="str">
        <x:v>P00045</x:v>
      </x:c>
      <x:c r="C125" s="16" t="str">
        <x:v>2026-01-14 18:00:00</x:v>
      </x:c>
      <x:c r="D125" s="14"/>
      <x:c r="E125" s="14" t="str">
        <x:v>Open</x:v>
      </x:c>
      <x:c r="F125" s="14" t="str">
        <x:v>E024</x:v>
      </x:c>
      <x:c r="G125" s="14" t="str">
        <x:v>AI-created commitment after policy and confidence checks</x:v>
      </x:c>
    </x:row>
    <x:row r="126">
      <x:c r="A126" s="14" t="str">
        <x:v>H000125</x:v>
      </x:c>
      <x:c r="B126" s="14" t="str">
        <x:v>P00045</x:v>
      </x:c>
      <x:c r="C126" s="16" t="str">
        <x:v>2026-01-15 11:00:00</x:v>
      </x:c>
      <x:c r="D126" s="14" t="str">
        <x:v>Open</x:v>
      </x:c>
      <x:c r="E126" s="14" t="str">
        <x:v>In Progress</x:v>
      </x:c>
      <x:c r="F126" s="14" t="str">
        <x:v>E024</x:v>
      </x:c>
      <x:c r="G126" s="14" t="str">
        <x:v>Owner update or workflow transition</x:v>
      </x:c>
    </x:row>
    <x:row r="127">
      <x:c r="A127" s="14" t="str">
        <x:v>H000126</x:v>
      </x:c>
      <x:c r="B127" s="14" t="str">
        <x:v>P00045</x:v>
      </x:c>
      <x:c r="C127" s="16" t="str">
        <x:v>2026-01-19 06:00:00</x:v>
      </x:c>
      <x:c r="D127" s="14" t="str">
        <x:v>In Progress</x:v>
      </x:c>
      <x:c r="E127" s="14" t="str">
        <x:v>Fulfilled</x:v>
      </x:c>
      <x:c r="F127" s="14" t="str">
        <x:v>E024</x:v>
      </x:c>
      <x:c r="G127" s="14" t="str">
        <x:v>System SLA evaluation or owner completion</x:v>
      </x:c>
    </x:row>
    <x:row r="128">
      <x:c r="A128" s="14" t="str">
        <x:v>H000127</x:v>
      </x:c>
      <x:c r="B128" s="14" t="str">
        <x:v>P00046</x:v>
      </x:c>
      <x:c r="C128" s="16" t="str">
        <x:v>2026-02-04 10:00:00</x:v>
      </x:c>
      <x:c r="D128" s="14"/>
      <x:c r="E128" s="14" t="str">
        <x:v>Open</x:v>
      </x:c>
      <x:c r="F128" s="14" t="str">
        <x:v>E029</x:v>
      </x:c>
      <x:c r="G128" s="14" t="str">
        <x:v>AI-created commitment after policy and confidence checks</x:v>
      </x:c>
    </x:row>
    <x:row r="129">
      <x:c r="A129" s="14" t="str">
        <x:v>H000128</x:v>
      </x:c>
      <x:c r="B129" s="14" t="str">
        <x:v>P00046</x:v>
      </x:c>
      <x:c r="C129" s="16" t="str">
        <x:v>2026-02-05 05:00:00</x:v>
      </x:c>
      <x:c r="D129" s="14" t="str">
        <x:v>Open</x:v>
      </x:c>
      <x:c r="E129" s="14" t="str">
        <x:v>In Progress</x:v>
      </x:c>
      <x:c r="F129" s="14" t="str">
        <x:v>E029</x:v>
      </x:c>
      <x:c r="G129" s="14" t="str">
        <x:v>Owner update or workflow transition</x:v>
      </x:c>
    </x:row>
    <x:row r="130">
      <x:c r="A130" s="14" t="str">
        <x:v>H000129</x:v>
      </x:c>
      <x:c r="B130" s="14" t="str">
        <x:v>P00046</x:v>
      </x:c>
      <x:c r="C130" s="16" t="str">
        <x:v>2026-02-13 03:00:00</x:v>
      </x:c>
      <x:c r="D130" s="14" t="str">
        <x:v>In Progress</x:v>
      </x:c>
      <x:c r="E130" s="14" t="str">
        <x:v>Fulfilled</x:v>
      </x:c>
      <x:c r="F130" s="14" t="str">
        <x:v>E029</x:v>
      </x:c>
      <x:c r="G130" s="14" t="str">
        <x:v>System SLA evaluation or owner completion</x:v>
      </x:c>
    </x:row>
    <x:row r="131">
      <x:c r="A131" s="14" t="str">
        <x:v>H000130</x:v>
      </x:c>
      <x:c r="B131" s="14" t="str">
        <x:v>P00047</x:v>
      </x:c>
      <x:c r="C131" s="16" t="str">
        <x:v>2026-02-27 01:00:00</x:v>
      </x:c>
      <x:c r="D131" s="14"/>
      <x:c r="E131" s="14" t="str">
        <x:v>Open</x:v>
      </x:c>
      <x:c r="F131" s="14" t="str">
        <x:v>E034</x:v>
      </x:c>
      <x:c r="G131" s="14" t="str">
        <x:v>AI-created commitment after policy and confidence checks</x:v>
      </x:c>
    </x:row>
    <x:row r="132">
      <x:c r="A132" s="14" t="str">
        <x:v>H000131</x:v>
      </x:c>
      <x:c r="B132" s="14" t="str">
        <x:v>P00047</x:v>
      </x:c>
      <x:c r="C132" s="16" t="str">
        <x:v>2026-02-27 08:00:00</x:v>
      </x:c>
      <x:c r="D132" s="14" t="str">
        <x:v>Open</x:v>
      </x:c>
      <x:c r="E132" s="14" t="str">
        <x:v>In Progress</x:v>
      </x:c>
      <x:c r="F132" s="14" t="str">
        <x:v>E034</x:v>
      </x:c>
      <x:c r="G132" s="14" t="str">
        <x:v>Owner update or workflow transition</x:v>
      </x:c>
    </x:row>
    <x:row r="133">
      <x:c r="A133" s="14" t="str">
        <x:v>H000132</x:v>
      </x:c>
      <x:c r="B133" s="14" t="str">
        <x:v>P00047</x:v>
      </x:c>
      <x:c r="C133" s="16" t="str">
        <x:v>2026-03-07 06:00:00</x:v>
      </x:c>
      <x:c r="D133" s="14" t="str">
        <x:v>In Progress</x:v>
      </x:c>
      <x:c r="E133" s="14" t="str">
        <x:v>Overdue</x:v>
      </x:c>
      <x:c r="F133" s="14" t="str">
        <x:v>E034</x:v>
      </x:c>
      <x:c r="G133" s="14" t="str">
        <x:v>System SLA evaluation or owner completion</x:v>
      </x:c>
    </x:row>
    <x:row r="134">
      <x:c r="A134" s="14" t="str">
        <x:v>H000133</x:v>
      </x:c>
      <x:c r="B134" s="14" t="str">
        <x:v>P00048</x:v>
      </x:c>
      <x:c r="C134" s="16" t="str">
        <x:v>2026-03-21 06:00:00</x:v>
      </x:c>
      <x:c r="D134" s="14"/>
      <x:c r="E134" s="14" t="str">
        <x:v>Open</x:v>
      </x:c>
      <x:c r="F134" s="14" t="str">
        <x:v>E039</x:v>
      </x:c>
      <x:c r="G134" s="14" t="str">
        <x:v>AI-created commitment after policy and confidence checks</x:v>
      </x:c>
    </x:row>
    <x:row r="135">
      <x:c r="A135" s="14" t="str">
        <x:v>H000134</x:v>
      </x:c>
      <x:c r="B135" s="14" t="str">
        <x:v>P00048</x:v>
      </x:c>
      <x:c r="C135" s="16" t="str">
        <x:v>2026-03-21 11:00:00</x:v>
      </x:c>
      <x:c r="D135" s="14" t="str">
        <x:v>Open</x:v>
      </x:c>
      <x:c r="E135" s="14" t="str">
        <x:v>In Progress</x:v>
      </x:c>
      <x:c r="F135" s="14" t="str">
        <x:v>E039</x:v>
      </x:c>
      <x:c r="G135" s="14" t="str">
        <x:v>Owner update or workflow transition</x:v>
      </x:c>
    </x:row>
    <x:row r="136">
      <x:c r="A136" s="14" t="str">
        <x:v>H000135</x:v>
      </x:c>
      <x:c r="B136" s="14" t="str">
        <x:v>P00048</x:v>
      </x:c>
      <x:c r="C136" s="16" t="str">
        <x:v>2026-03-24 07:00:00</x:v>
      </x:c>
      <x:c r="D136" s="14" t="str">
        <x:v>In Progress</x:v>
      </x:c>
      <x:c r="E136" s="14" t="str">
        <x:v>Fulfilled</x:v>
      </x:c>
      <x:c r="F136" s="14" t="str">
        <x:v>E039</x:v>
      </x:c>
      <x:c r="G136" s="14" t="str">
        <x:v>System SLA evaluation or owner completion</x:v>
      </x:c>
    </x:row>
    <x:row r="137">
      <x:c r="A137" s="14" t="str">
        <x:v>H000136</x:v>
      </x:c>
      <x:c r="B137" s="14" t="str">
        <x:v>P00049</x:v>
      </x:c>
      <x:c r="C137" s="16" t="str">
        <x:v>2026-04-12 15:00:00</x:v>
      </x:c>
      <x:c r="D137" s="14"/>
      <x:c r="E137" s="14" t="str">
        <x:v>Open</x:v>
      </x:c>
      <x:c r="F137" s="14" t="str">
        <x:v>E004</x:v>
      </x:c>
      <x:c r="G137" s="14" t="str">
        <x:v>AI-created commitment after policy and confidence checks</x:v>
      </x:c>
    </x:row>
    <x:row r="138">
      <x:c r="A138" s="14" t="str">
        <x:v>H000137</x:v>
      </x:c>
      <x:c r="B138" s="14" t="str">
        <x:v>P00049</x:v>
      </x:c>
      <x:c r="C138" s="16" t="str">
        <x:v>2026-04-13 01:00:00</x:v>
      </x:c>
      <x:c r="D138" s="14" t="str">
        <x:v>Open</x:v>
      </x:c>
      <x:c r="E138" s="14" t="str">
        <x:v>In Progress</x:v>
      </x:c>
      <x:c r="F138" s="14" t="str">
        <x:v>E004</x:v>
      </x:c>
      <x:c r="G138" s="14" t="str">
        <x:v>Owner update or workflow transition</x:v>
      </x:c>
    </x:row>
    <x:row r="139">
      <x:c r="A139" s="14" t="str">
        <x:v>H000138</x:v>
      </x:c>
      <x:c r="B139" s="14" t="str">
        <x:v>P00049</x:v>
      </x:c>
      <x:c r="C139" s="16" t="str">
        <x:v>2026-04-17 05:00:00</x:v>
      </x:c>
      <x:c r="D139" s="14" t="str">
        <x:v>In Progress</x:v>
      </x:c>
      <x:c r="E139" s="14" t="str">
        <x:v>Fulfilled</x:v>
      </x:c>
      <x:c r="F139" s="14" t="str">
        <x:v>E004</x:v>
      </x:c>
      <x:c r="G139" s="14" t="str">
        <x:v>System SLA evaluation or owner completion</x:v>
      </x:c>
    </x:row>
    <x:row r="140">
      <x:c r="A140" s="14" t="str">
        <x:v>H000139</x:v>
      </x:c>
      <x:c r="B140" s="14" t="str">
        <x:v>P00050</x:v>
      </x:c>
      <x:c r="C140" s="16" t="str">
        <x:v>2026-05-04 23:00:00</x:v>
      </x:c>
      <x:c r="D140" s="14"/>
      <x:c r="E140" s="14" t="str">
        <x:v>Open</x:v>
      </x:c>
      <x:c r="F140" s="14" t="str">
        <x:v>E009</x:v>
      </x:c>
      <x:c r="G140" s="14" t="str">
        <x:v>AI-created commitment after policy and confidence checks</x:v>
      </x:c>
    </x:row>
    <x:row r="141">
      <x:c r="A141" s="14" t="str">
        <x:v>H000140</x:v>
      </x:c>
      <x:c r="B141" s="14" t="str">
        <x:v>P00050</x:v>
      </x:c>
      <x:c r="C141" s="16" t="str">
        <x:v>2026-05-06 04:00:00</x:v>
      </x:c>
      <x:c r="D141" s="14" t="str">
        <x:v>Open</x:v>
      </x:c>
      <x:c r="E141" s="14" t="str">
        <x:v>In Progress</x:v>
      </x:c>
      <x:c r="F141" s="14" t="str">
        <x:v>E009</x:v>
      </x:c>
      <x:c r="G141" s="14" t="str">
        <x:v>Owner update or workflow transition</x:v>
      </x:c>
    </x:row>
    <x:row r="142">
      <x:c r="A142" s="14" t="str">
        <x:v>H000141</x:v>
      </x:c>
      <x:c r="B142" s="14" t="str">
        <x:v>P00050</x:v>
      </x:c>
      <x:c r="C142" s="16" t="str">
        <x:v>2026-05-09 03:00:00</x:v>
      </x:c>
      <x:c r="D142" s="14" t="str">
        <x:v>In Progress</x:v>
      </x:c>
      <x:c r="E142" s="14" t="str">
        <x:v>Fulfilled</x:v>
      </x:c>
      <x:c r="F142" s="14" t="str">
        <x:v>E009</x:v>
      </x:c>
      <x:c r="G142" s="14" t="str">
        <x:v>System SLA evaluation or owner completion</x:v>
      </x:c>
    </x:row>
    <x:row r="143">
      <x:c r="A143" s="14" t="str">
        <x:v>H000142</x:v>
      </x:c>
      <x:c r="B143" s="14" t="str">
        <x:v>P00051</x:v>
      </x:c>
      <x:c r="C143" s="16" t="str">
        <x:v>2026-01-25 16:00:00</x:v>
      </x:c>
      <x:c r="D143" s="14"/>
      <x:c r="E143" s="14" t="str">
        <x:v>Open</x:v>
      </x:c>
      <x:c r="F143" s="14" t="str">
        <x:v>E014</x:v>
      </x:c>
      <x:c r="G143" s="14" t="str">
        <x:v>AI-created commitment after policy and confidence checks</x:v>
      </x:c>
    </x:row>
    <x:row r="144">
      <x:c r="A144" s="14" t="str">
        <x:v>H000143</x:v>
      </x:c>
      <x:c r="B144" s="14" t="str">
        <x:v>P00051</x:v>
      </x:c>
      <x:c r="C144" s="16" t="str">
        <x:v>2026-01-26 09:00:00</x:v>
      </x:c>
      <x:c r="D144" s="14" t="str">
        <x:v>Open</x:v>
      </x:c>
      <x:c r="E144" s="14" t="str">
        <x:v>In Progress</x:v>
      </x:c>
      <x:c r="F144" s="14" t="str">
        <x:v>E014</x:v>
      </x:c>
      <x:c r="G144" s="14" t="str">
        <x:v>Owner update or workflow transition</x:v>
      </x:c>
    </x:row>
    <x:row r="145">
      <x:c r="A145" s="14" t="str">
        <x:v>H000144</x:v>
      </x:c>
      <x:c r="B145" s="14" t="str">
        <x:v>P00051</x:v>
      </x:c>
      <x:c r="C145" s="16" t="str">
        <x:v>2026-01-27 16:00:00</x:v>
      </x:c>
      <x:c r="D145" s="14" t="str">
        <x:v>In Progress</x:v>
      </x:c>
      <x:c r="E145" s="14" t="str">
        <x:v>Overdue</x:v>
      </x:c>
      <x:c r="F145" s="14" t="str">
        <x:v>E014</x:v>
      </x:c>
      <x:c r="G145" s="14" t="str">
        <x:v>System SLA evaluation or owner completion</x:v>
      </x:c>
    </x:row>
    <x:row r="146">
      <x:c r="A146" s="14" t="str">
        <x:v>H000145</x:v>
      </x:c>
      <x:c r="B146" s="14" t="str">
        <x:v>P00052</x:v>
      </x:c>
      <x:c r="C146" s="16" t="str">
        <x:v>2026-02-17 00:00:00</x:v>
      </x:c>
      <x:c r="D146" s="14"/>
      <x:c r="E146" s="14" t="str">
        <x:v>Open</x:v>
      </x:c>
      <x:c r="F146" s="14" t="str">
        <x:v>E019</x:v>
      </x:c>
      <x:c r="G146" s="14" t="str">
        <x:v>AI-created commitment after policy and confidence checks</x:v>
      </x:c>
    </x:row>
    <x:row r="147">
      <x:c r="A147" s="14" t="str">
        <x:v>H000146</x:v>
      </x:c>
      <x:c r="B147" s="14" t="str">
        <x:v>P00052</x:v>
      </x:c>
      <x:c r="C147" s="16" t="str">
        <x:v>2026-02-17 03:00:00</x:v>
      </x:c>
      <x:c r="D147" s="14" t="str">
        <x:v>Open</x:v>
      </x:c>
      <x:c r="E147" s="14" t="str">
        <x:v>In Progress</x:v>
      </x:c>
      <x:c r="F147" s="14" t="str">
        <x:v>E019</x:v>
      </x:c>
      <x:c r="G147" s="14" t="str">
        <x:v>Owner update or workflow transition</x:v>
      </x:c>
    </x:row>
    <x:row r="148">
      <x:c r="A148" s="14" t="str">
        <x:v>H000147</x:v>
      </x:c>
      <x:c r="B148" s="14" t="str">
        <x:v>P00052</x:v>
      </x:c>
      <x:c r="C148" s="16" t="str">
        <x:v>2026-02-28 04:00:00</x:v>
      </x:c>
      <x:c r="D148" s="14" t="str">
        <x:v>In Progress</x:v>
      </x:c>
      <x:c r="E148" s="14" t="str">
        <x:v>Overdue</x:v>
      </x:c>
      <x:c r="F148" s="14" t="str">
        <x:v>E019</x:v>
      </x:c>
      <x:c r="G148" s="14" t="str">
        <x:v>System SLA evaluation or owner completion</x:v>
      </x:c>
    </x:row>
    <x:row r="149">
      <x:c r="A149" s="14" t="str">
        <x:v>H000148</x:v>
      </x:c>
      <x:c r="B149" s="14" t="str">
        <x:v>P00053</x:v>
      </x:c>
      <x:c r="C149" s="16" t="str">
        <x:v>2026-03-11 09:00:00</x:v>
      </x:c>
      <x:c r="D149" s="14"/>
      <x:c r="E149" s="14" t="str">
        <x:v>Open</x:v>
      </x:c>
      <x:c r="F149" s="14" t="str">
        <x:v>E024</x:v>
      </x:c>
      <x:c r="G149" s="14" t="str">
        <x:v>AI-created commitment after policy and confidence checks</x:v>
      </x:c>
    </x:row>
    <x:row r="150">
      <x:c r="A150" s="14" t="str">
        <x:v>H000149</x:v>
      </x:c>
      <x:c r="B150" s="14" t="str">
        <x:v>P00053</x:v>
      </x:c>
      <x:c r="C150" s="16" t="str">
        <x:v>2026-03-11 13:00:00</x:v>
      </x:c>
      <x:c r="D150" s="14" t="str">
        <x:v>Open</x:v>
      </x:c>
      <x:c r="E150" s="14" t="str">
        <x:v>In Progress</x:v>
      </x:c>
      <x:c r="F150" s="14" t="str">
        <x:v>E024</x:v>
      </x:c>
      <x:c r="G150" s="14" t="str">
        <x:v>Owner update or workflow transition</x:v>
      </x:c>
    </x:row>
    <x:row r="151">
      <x:c r="A151" s="14" t="str">
        <x:v>H000150</x:v>
      </x:c>
      <x:c r="B151" s="14" t="str">
        <x:v>P00053</x:v>
      </x:c>
      <x:c r="C151" s="16" t="str">
        <x:v>2026-03-15 12:00:00</x:v>
      </x:c>
      <x:c r="D151" s="14" t="str">
        <x:v>In Progress</x:v>
      </x:c>
      <x:c r="E151" s="14" t="str">
        <x:v>Overdue</x:v>
      </x:c>
      <x:c r="F151" s="14" t="str">
        <x:v>E024</x:v>
      </x:c>
      <x:c r="G151" s="14" t="str">
        <x:v>System SLA evaluation or owner completion</x:v>
      </x:c>
    </x:row>
    <x:row r="152">
      <x:c r="A152" s="14" t="str">
        <x:v>H000151</x:v>
      </x:c>
      <x:c r="B152" s="14" t="str">
        <x:v>P00054</x:v>
      </x:c>
      <x:c r="C152" s="16" t="str">
        <x:v>2026-04-02 17:00:00</x:v>
      </x:c>
      <x:c r="D152" s="14"/>
      <x:c r="E152" s="14" t="str">
        <x:v>Open</x:v>
      </x:c>
      <x:c r="F152" s="14" t="str">
        <x:v>E029</x:v>
      </x:c>
      <x:c r="G152" s="14" t="str">
        <x:v>AI-created commitment after policy and confidence checks</x:v>
      </x:c>
    </x:row>
    <x:row r="153">
      <x:c r="A153" s="14" t="str">
        <x:v>H000152</x:v>
      </x:c>
      <x:c r="B153" s="14" t="str">
        <x:v>P00054</x:v>
      </x:c>
      <x:c r="C153" s="16" t="str">
        <x:v>2026-04-03 12:00:00</x:v>
      </x:c>
      <x:c r="D153" s="14" t="str">
        <x:v>Open</x:v>
      </x:c>
      <x:c r="E153" s="14" t="str">
        <x:v>Reassigned</x:v>
      </x:c>
      <x:c r="F153" s="14" t="str">
        <x:v>E029</x:v>
      </x:c>
      <x:c r="G153" s="14" t="str">
        <x:v>Owner update or workflow transition</x:v>
      </x:c>
    </x:row>
    <x:row r="154">
      <x:c r="A154" s="14" t="str">
        <x:v>H000153</x:v>
      </x:c>
      <x:c r="B154" s="14" t="str">
        <x:v>P00055</x:v>
      </x:c>
      <x:c r="C154" s="16" t="str">
        <x:v>2026-04-23 14:00:00</x:v>
      </x:c>
      <x:c r="D154" s="14"/>
      <x:c r="E154" s="14" t="str">
        <x:v>Open</x:v>
      </x:c>
      <x:c r="F154" s="14" t="str">
        <x:v>E034</x:v>
      </x:c>
      <x:c r="G154" s="14" t="str">
        <x:v>AI-created commitment after policy and confidence checks</x:v>
      </x:c>
    </x:row>
    <x:row r="155">
      <x:c r="A155" s="14" t="str">
        <x:v>H000154</x:v>
      </x:c>
      <x:c r="B155" s="14" t="str">
        <x:v>P00055</x:v>
      </x:c>
      <x:c r="C155" s="16" t="str">
        <x:v>2026-04-24 04:00:00</x:v>
      </x:c>
      <x:c r="D155" s="14" t="str">
        <x:v>Open</x:v>
      </x:c>
      <x:c r="E155" s="14" t="str">
        <x:v>In Progress</x:v>
      </x:c>
      <x:c r="F155" s="14" t="str">
        <x:v>E034</x:v>
      </x:c>
      <x:c r="G155" s="14" t="str">
        <x:v>Owner update or workflow transition</x:v>
      </x:c>
    </x:row>
    <x:row r="156">
      <x:c r="A156" s="14" t="str">
        <x:v>H000155</x:v>
      </x:c>
      <x:c r="B156" s="14" t="str">
        <x:v>P00055</x:v>
      </x:c>
      <x:c r="C156" s="16" t="str">
        <x:v>2026-04-25 09:00:00</x:v>
      </x:c>
      <x:c r="D156" s="14" t="str">
        <x:v>In Progress</x:v>
      </x:c>
      <x:c r="E156" s="14" t="str">
        <x:v>Fulfilled</x:v>
      </x:c>
      <x:c r="F156" s="14" t="str">
        <x:v>E034</x:v>
      </x:c>
      <x:c r="G156" s="14" t="str">
        <x:v>System SLA evaluation or owner completion</x:v>
      </x:c>
    </x:row>
    <x:row r="157">
      <x:c r="A157" s="14" t="str">
        <x:v>H000156</x:v>
      </x:c>
      <x:c r="B157" s="14" t="str">
        <x:v>P00056</x:v>
      </x:c>
      <x:c r="C157" s="16" t="str">
        <x:v>2026-01-16 00:00:00</x:v>
      </x:c>
      <x:c r="D157" s="14"/>
      <x:c r="E157" s="14" t="str">
        <x:v>Open</x:v>
      </x:c>
      <x:c r="F157" s="14" t="str">
        <x:v>E039</x:v>
      </x:c>
      <x:c r="G157" s="14" t="str">
        <x:v>AI-created commitment after policy and confidence checks</x:v>
      </x:c>
    </x:row>
    <x:row r="158">
      <x:c r="A158" s="14" t="str">
        <x:v>H000157</x:v>
      </x:c>
      <x:c r="B158" s="14" t="str">
        <x:v>P00056</x:v>
      </x:c>
      <x:c r="C158" s="16" t="str">
        <x:v>2026-01-16 10:00:00</x:v>
      </x:c>
      <x:c r="D158" s="14" t="str">
        <x:v>Open</x:v>
      </x:c>
      <x:c r="E158" s="14" t="str">
        <x:v>Reassigned</x:v>
      </x:c>
      <x:c r="F158" s="14" t="str">
        <x:v>E039</x:v>
      </x:c>
      <x:c r="G158" s="14" t="str">
        <x:v>Owner update or workflow transition</x:v>
      </x:c>
    </x:row>
    <x:row r="159">
      <x:c r="A159" s="14" t="str">
        <x:v>H000158</x:v>
      </x:c>
      <x:c r="B159" s="14" t="str">
        <x:v>P00057</x:v>
      </x:c>
      <x:c r="C159" s="16" t="str">
        <x:v>2026-02-07 06:00:00</x:v>
      </x:c>
      <x:c r="D159" s="14"/>
      <x:c r="E159" s="14" t="str">
        <x:v>Open</x:v>
      </x:c>
      <x:c r="F159" s="14" t="str">
        <x:v>E004</x:v>
      </x:c>
      <x:c r="G159" s="14" t="str">
        <x:v>AI-created commitment after policy and confidence checks</x:v>
      </x:c>
    </x:row>
    <x:row r="160">
      <x:c r="A160" s="14" t="str">
        <x:v>H000159</x:v>
      </x:c>
      <x:c r="B160" s="14" t="str">
        <x:v>P00057</x:v>
      </x:c>
      <x:c r="C160" s="16" t="str">
        <x:v>2026-02-07 21:00:00</x:v>
      </x:c>
      <x:c r="D160" s="14" t="str">
        <x:v>Open</x:v>
      </x:c>
      <x:c r="E160" s="14" t="str">
        <x:v>In Progress</x:v>
      </x:c>
      <x:c r="F160" s="14" t="str">
        <x:v>E004</x:v>
      </x:c>
      <x:c r="G160" s="14" t="str">
        <x:v>Owner update or workflow transition</x:v>
      </x:c>
    </x:row>
    <x:row r="161">
      <x:c r="A161" s="14" t="str">
        <x:v>H000160</x:v>
      </x:c>
      <x:c r="B161" s="14" t="str">
        <x:v>P00057</x:v>
      </x:c>
      <x:c r="C161" s="16" t="str">
        <x:v>2026-02-09 13:00:00</x:v>
      </x:c>
      <x:c r="D161" s="14" t="str">
        <x:v>In Progress</x:v>
      </x:c>
      <x:c r="E161" s="14" t="str">
        <x:v>Overdue</x:v>
      </x:c>
      <x:c r="F161" s="14" t="str">
        <x:v>E004</x:v>
      </x:c>
      <x:c r="G161" s="14" t="str">
        <x:v>System SLA evaluation or owner completion</x:v>
      </x:c>
    </x:row>
    <x:row r="162">
      <x:c r="A162" s="14" t="str">
        <x:v>H000161</x:v>
      </x:c>
      <x:c r="B162" s="14" t="str">
        <x:v>P00058</x:v>
      </x:c>
      <x:c r="C162" s="16" t="str">
        <x:v>2026-03-01 17:00:00</x:v>
      </x:c>
      <x:c r="D162" s="14"/>
      <x:c r="E162" s="14" t="str">
        <x:v>Open</x:v>
      </x:c>
      <x:c r="F162" s="14" t="str">
        <x:v>E009</x:v>
      </x:c>
      <x:c r="G162" s="14" t="str">
        <x:v>AI-created commitment after policy and confidence checks</x:v>
      </x:c>
    </x:row>
    <x:row r="163">
      <x:c r="A163" s="14" t="str">
        <x:v>H000162</x:v>
      </x:c>
      <x:c r="B163" s="14" t="str">
        <x:v>P00058</x:v>
      </x:c>
      <x:c r="C163" s="16" t="str">
        <x:v>2026-03-02 07:00:00</x:v>
      </x:c>
      <x:c r="D163" s="14" t="str">
        <x:v>Open</x:v>
      </x:c>
      <x:c r="E163" s="14" t="str">
        <x:v>In Progress</x:v>
      </x:c>
      <x:c r="F163" s="14" t="str">
        <x:v>E009</x:v>
      </x:c>
      <x:c r="G163" s="14" t="str">
        <x:v>Owner update or workflow transition</x:v>
      </x:c>
    </x:row>
    <x:row r="164">
      <x:c r="A164" s="14" t="str">
        <x:v>H000163</x:v>
      </x:c>
      <x:c r="B164" s="14" t="str">
        <x:v>P00058</x:v>
      </x:c>
      <x:c r="C164" s="16" t="str">
        <x:v>2026-03-03 23:00:00</x:v>
      </x:c>
      <x:c r="D164" s="14" t="str">
        <x:v>In Progress</x:v>
      </x:c>
      <x:c r="E164" s="14" t="str">
        <x:v>Fulfilled</x:v>
      </x:c>
      <x:c r="F164" s="14" t="str">
        <x:v>E009</x:v>
      </x:c>
      <x:c r="G164" s="14" t="str">
        <x:v>System SLA evaluation or owner completion</x:v>
      </x:c>
    </x:row>
    <x:row r="165">
      <x:c r="A165" s="14" t="str">
        <x:v>H000164</x:v>
      </x:c>
      <x:c r="B165" s="14" t="str">
        <x:v>P00059</x:v>
      </x:c>
      <x:c r="C165" s="16" t="str">
        <x:v>2026-03-23 20:00:00</x:v>
      </x:c>
      <x:c r="D165" s="14"/>
      <x:c r="E165" s="14" t="str">
        <x:v>Open</x:v>
      </x:c>
      <x:c r="F165" s="14" t="str">
        <x:v>E014</x:v>
      </x:c>
      <x:c r="G165" s="14" t="str">
        <x:v>AI-created commitment after policy and confidence checks</x:v>
      </x:c>
    </x:row>
    <x:row r="166">
      <x:c r="A166" s="14" t="str">
        <x:v>H000165</x:v>
      </x:c>
      <x:c r="B166" s="14" t="str">
        <x:v>P00059</x:v>
      </x:c>
      <x:c r="C166" s="16" t="str">
        <x:v>2026-03-24 06:00:00</x:v>
      </x:c>
      <x:c r="D166" s="14" t="str">
        <x:v>Open</x:v>
      </x:c>
      <x:c r="E166" s="14" t="str">
        <x:v>In Progress</x:v>
      </x:c>
      <x:c r="F166" s="14" t="str">
        <x:v>E014</x:v>
      </x:c>
      <x:c r="G166" s="14" t="str">
        <x:v>Owner update or workflow transition</x:v>
      </x:c>
    </x:row>
    <x:row r="167">
      <x:c r="A167" s="14" t="str">
        <x:v>H000166</x:v>
      </x:c>
      <x:c r="B167" s="14" t="str">
        <x:v>P00059</x:v>
      </x:c>
      <x:c r="C167" s="16" t="str">
        <x:v>2026-03-26 03:00:00</x:v>
      </x:c>
      <x:c r="D167" s="14" t="str">
        <x:v>In Progress</x:v>
      </x:c>
      <x:c r="E167" s="14" t="str">
        <x:v>Fulfilled</x:v>
      </x:c>
      <x:c r="F167" s="14" t="str">
        <x:v>E014</x:v>
      </x:c>
      <x:c r="G167" s="14" t="str">
        <x:v>System SLA evaluation or owner completion</x:v>
      </x:c>
    </x:row>
    <x:row r="168">
      <x:c r="A168" s="14" t="str">
        <x:v>H000167</x:v>
      </x:c>
      <x:c r="B168" s="14" t="str">
        <x:v>P00060</x:v>
      </x:c>
      <x:c r="C168" s="16" t="str">
        <x:v>2026-04-13 13:00:00</x:v>
      </x:c>
      <x:c r="D168" s="14"/>
      <x:c r="E168" s="14" t="str">
        <x:v>Open</x:v>
      </x:c>
      <x:c r="F168" s="14" t="str">
        <x:v>E019</x:v>
      </x:c>
      <x:c r="G168" s="14" t="str">
        <x:v>AI-created commitment after policy and confidence checks</x:v>
      </x:c>
    </x:row>
    <x:row r="169">
      <x:c r="A169" s="14" t="str">
        <x:v>H000168</x:v>
      </x:c>
      <x:c r="B169" s="14" t="str">
        <x:v>P00060</x:v>
      </x:c>
      <x:c r="C169" s="16" t="str">
        <x:v>2026-04-13 16:00:00</x:v>
      </x:c>
      <x:c r="D169" s="14" t="str">
        <x:v>Open</x:v>
      </x:c>
      <x:c r="E169" s="14" t="str">
        <x:v>In Progress</x:v>
      </x:c>
      <x:c r="F169" s="14" t="str">
        <x:v>E019</x:v>
      </x:c>
      <x:c r="G169" s="14" t="str">
        <x:v>Owner update or workflow transition</x:v>
      </x:c>
    </x:row>
    <x:row r="170">
      <x:c r="A170" s="14" t="str">
        <x:v>H000169</x:v>
      </x:c>
      <x:c r="B170" s="14" t="str">
        <x:v>P00060</x:v>
      </x:c>
      <x:c r="C170" s="16" t="str">
        <x:v>2026-04-19 15:00:00</x:v>
      </x:c>
      <x:c r="D170" s="14" t="str">
        <x:v>In Progress</x:v>
      </x:c>
      <x:c r="E170" s="14" t="str">
        <x:v>Fulfilled</x:v>
      </x:c>
      <x:c r="F170" s="14" t="str">
        <x:v>E019</x:v>
      </x:c>
      <x:c r="G170" s="14" t="str">
        <x:v>System SLA evaluation or owner completion</x:v>
      </x:c>
    </x:row>
    <x:row r="171">
      <x:c r="A171" s="14" t="str">
        <x:v>H000170</x:v>
      </x:c>
      <x:c r="B171" s="14" t="str">
        <x:v>P00061</x:v>
      </x:c>
      <x:c r="C171" s="16" t="str">
        <x:v>2026-01-05 22:00:00</x:v>
      </x:c>
      <x:c r="D171" s="14"/>
      <x:c r="E171" s="14" t="str">
        <x:v>Open</x:v>
      </x:c>
      <x:c r="F171" s="14" t="str">
        <x:v>E024</x:v>
      </x:c>
      <x:c r="G171" s="14" t="str">
        <x:v>AI-created commitment after policy and confidence checks</x:v>
      </x:c>
    </x:row>
    <x:row r="172">
      <x:c r="A172" s="14" t="str">
        <x:v>H000171</x:v>
      </x:c>
      <x:c r="B172" s="14" t="str">
        <x:v>P00061</x:v>
      </x:c>
      <x:c r="C172" s="16" t="str">
        <x:v>2026-01-06 11:00:00</x:v>
      </x:c>
      <x:c r="D172" s="14" t="str">
        <x:v>Open</x:v>
      </x:c>
      <x:c r="E172" s="14" t="str">
        <x:v>In Progress</x:v>
      </x:c>
      <x:c r="F172" s="14" t="str">
        <x:v>E024</x:v>
      </x:c>
      <x:c r="G172" s="14" t="str">
        <x:v>Owner update or workflow transition</x:v>
      </x:c>
    </x:row>
    <x:row r="173">
      <x:c r="A173" s="14" t="str">
        <x:v>H000172</x:v>
      </x:c>
      <x:c r="B173" s="14" t="str">
        <x:v>P00061</x:v>
      </x:c>
      <x:c r="C173" s="16" t="str">
        <x:v>2026-01-16 06:00:00</x:v>
      </x:c>
      <x:c r="D173" s="14" t="str">
        <x:v>In Progress</x:v>
      </x:c>
      <x:c r="E173" s="14" t="str">
        <x:v>Fulfilled</x:v>
      </x:c>
      <x:c r="F173" s="14" t="str">
        <x:v>E024</x:v>
      </x:c>
      <x:c r="G173" s="14" t="str">
        <x:v>System SLA evaluation or owner completion</x:v>
      </x:c>
    </x:row>
    <x:row r="174">
      <x:c r="A174" s="14" t="str">
        <x:v>H000173</x:v>
      </x:c>
      <x:c r="B174" s="14" t="str">
        <x:v>P00062</x:v>
      </x:c>
      <x:c r="C174" s="16" t="str">
        <x:v>2026-01-28 09:00:00</x:v>
      </x:c>
      <x:c r="D174" s="14"/>
      <x:c r="E174" s="14" t="str">
        <x:v>Open</x:v>
      </x:c>
      <x:c r="F174" s="14" t="str">
        <x:v>E029</x:v>
      </x:c>
      <x:c r="G174" s="14" t="str">
        <x:v>AI-created commitment after policy and confidence checks</x:v>
      </x:c>
    </x:row>
    <x:row r="175">
      <x:c r="A175" s="14" t="str">
        <x:v>H000174</x:v>
      </x:c>
      <x:c r="B175" s="14" t="str">
        <x:v>P00062</x:v>
      </x:c>
      <x:c r="C175" s="16" t="str">
        <x:v>2026-01-28 15:00:00</x:v>
      </x:c>
      <x:c r="D175" s="14" t="str">
        <x:v>Open</x:v>
      </x:c>
      <x:c r="E175" s="14" t="str">
        <x:v>In Progress</x:v>
      </x:c>
      <x:c r="F175" s="14" t="str">
        <x:v>E029</x:v>
      </x:c>
      <x:c r="G175" s="14" t="str">
        <x:v>Owner update or workflow transition</x:v>
      </x:c>
    </x:row>
    <x:row r="176">
      <x:c r="A176" s="14" t="str">
        <x:v>H000175</x:v>
      </x:c>
      <x:c r="B176" s="14" t="str">
        <x:v>P00062</x:v>
      </x:c>
      <x:c r="C176" s="16" t="str">
        <x:v>2026-02-04 08:00:00</x:v>
      </x:c>
      <x:c r="D176" s="14" t="str">
        <x:v>In Progress</x:v>
      </x:c>
      <x:c r="E176" s="14" t="str">
        <x:v>Overdue</x:v>
      </x:c>
      <x:c r="F176" s="14" t="str">
        <x:v>E029</x:v>
      </x:c>
      <x:c r="G176" s="14" t="str">
        <x:v>System SLA evaluation or owner completion</x:v>
      </x:c>
    </x:row>
    <x:row r="177">
      <x:c r="A177" s="14" t="str">
        <x:v>H000176</x:v>
      </x:c>
      <x:c r="B177" s="14" t="str">
        <x:v>P00063</x:v>
      </x:c>
      <x:c r="C177" s="16" t="str">
        <x:v>2026-02-19 15:00:00</x:v>
      </x:c>
      <x:c r="D177" s="14"/>
      <x:c r="E177" s="14" t="str">
        <x:v>Open</x:v>
      </x:c>
      <x:c r="F177" s="14" t="str">
        <x:v>E034</x:v>
      </x:c>
      <x:c r="G177" s="14" t="str">
        <x:v>AI-created commitment after policy and confidence checks</x:v>
      </x:c>
    </x:row>
    <x:row r="178">
      <x:c r="A178" s="14" t="str">
        <x:v>H000177</x:v>
      </x:c>
      <x:c r="B178" s="14" t="str">
        <x:v>P00063</x:v>
      </x:c>
      <x:c r="C178" s="16" t="str">
        <x:v>2026-02-20 14:00:00</x:v>
      </x:c>
      <x:c r="D178" s="14" t="str">
        <x:v>Open</x:v>
      </x:c>
      <x:c r="E178" s="14" t="str">
        <x:v>In Progress</x:v>
      </x:c>
      <x:c r="F178" s="14" t="str">
        <x:v>E034</x:v>
      </x:c>
      <x:c r="G178" s="14" t="str">
        <x:v>Owner update or workflow transition</x:v>
      </x:c>
    </x:row>
    <x:row r="179">
      <x:c r="A179" s="14" t="str">
        <x:v>H000178</x:v>
      </x:c>
      <x:c r="B179" s="14" t="str">
        <x:v>P00063</x:v>
      </x:c>
      <x:c r="C179" s="16" t="str">
        <x:v>2026-02-22 14:00:00</x:v>
      </x:c>
      <x:c r="D179" s="14" t="str">
        <x:v>In Progress</x:v>
      </x:c>
      <x:c r="E179" s="14" t="str">
        <x:v>Overdue</x:v>
      </x:c>
      <x:c r="F179" s="14" t="str">
        <x:v>E034</x:v>
      </x:c>
      <x:c r="G179" s="14" t="str">
        <x:v>System SLA evaluation or owner completion</x:v>
      </x:c>
    </x:row>
    <x:row r="180">
      <x:c r="A180" s="14" t="str">
        <x:v>H000179</x:v>
      </x:c>
      <x:c r="B180" s="14" t="str">
        <x:v>P00064</x:v>
      </x:c>
      <x:c r="C180" s="16" t="str">
        <x:v>2026-03-12 17:00:00</x:v>
      </x:c>
      <x:c r="D180" s="14"/>
      <x:c r="E180" s="14" t="str">
        <x:v>Open</x:v>
      </x:c>
      <x:c r="F180" s="14" t="str">
        <x:v>E039</x:v>
      </x:c>
      <x:c r="G180" s="14" t="str">
        <x:v>AI-created commitment after policy and confidence checks</x:v>
      </x:c>
    </x:row>
    <x:row r="181">
      <x:c r="A181" s="14" t="str">
        <x:v>H000180</x:v>
      </x:c>
      <x:c r="B181" s="14" t="str">
        <x:v>P00064</x:v>
      </x:c>
      <x:c r="C181" s="16" t="str">
        <x:v>2026-03-13 21:00:00</x:v>
      </x:c>
      <x:c r="D181" s="14" t="str">
        <x:v>Open</x:v>
      </x:c>
      <x:c r="E181" s="14" t="str">
        <x:v>Cancelled</x:v>
      </x:c>
      <x:c r="F181" s="14" t="str">
        <x:v>E039</x:v>
      </x:c>
      <x:c r="G181" s="14" t="str">
        <x:v>Owner update or workflow transition</x:v>
      </x:c>
    </x:row>
    <x:row r="182">
      <x:c r="A182" s="14" t="str">
        <x:v>H000181</x:v>
      </x:c>
      <x:c r="B182" s="14" t="str">
        <x:v>P00065</x:v>
      </x:c>
      <x:c r="C182" s="16" t="str">
        <x:v>2026-04-03 22:00:00</x:v>
      </x:c>
      <x:c r="D182" s="14"/>
      <x:c r="E182" s="14" t="str">
        <x:v>Open</x:v>
      </x:c>
      <x:c r="F182" s="14" t="str">
        <x:v>E004</x:v>
      </x:c>
      <x:c r="G182" s="14" t="str">
        <x:v>AI-created commitment after policy and confidence checks</x:v>
      </x:c>
    </x:row>
    <x:row r="183">
      <x:c r="A183" s="14" t="str">
        <x:v>H000182</x:v>
      </x:c>
      <x:c r="B183" s="14" t="str">
        <x:v>P00065</x:v>
      </x:c>
      <x:c r="C183" s="16" t="str">
        <x:v>2026-04-04 05:00:00</x:v>
      </x:c>
      <x:c r="D183" s="14" t="str">
        <x:v>Open</x:v>
      </x:c>
      <x:c r="E183" s="14" t="str">
        <x:v>In Progress</x:v>
      </x:c>
      <x:c r="F183" s="14" t="str">
        <x:v>E004</x:v>
      </x:c>
      <x:c r="G183" s="14" t="str">
        <x:v>Owner update or workflow transition</x:v>
      </x:c>
    </x:row>
    <x:row r="184">
      <x:c r="A184" s="14" t="str">
        <x:v>H000183</x:v>
      </x:c>
      <x:c r="B184" s="14" t="str">
        <x:v>P00065</x:v>
      </x:c>
      <x:c r="C184" s="16" t="str">
        <x:v>2026-04-08 04:00:00</x:v>
      </x:c>
      <x:c r="D184" s="14" t="str">
        <x:v>In Progress</x:v>
      </x:c>
      <x:c r="E184" s="14" t="str">
        <x:v>Fulfilled</x:v>
      </x:c>
      <x:c r="F184" s="14" t="str">
        <x:v>E004</x:v>
      </x:c>
      <x:c r="G184" s="14" t="str">
        <x:v>System SLA evaluation or owner completion</x:v>
      </x:c>
    </x:row>
    <x:row r="185">
      <x:c r="A185" s="14" t="str">
        <x:v>H000184</x:v>
      </x:c>
      <x:c r="B185" s="14" t="str">
        <x:v>P00066</x:v>
      </x:c>
      <x:c r="C185" s="16" t="str">
        <x:v>2026-04-26 07:00:00</x:v>
      </x:c>
      <x:c r="D185" s="14"/>
      <x:c r="E185" s="14" t="str">
        <x:v>Open</x:v>
      </x:c>
      <x:c r="F185" s="14" t="str">
        <x:v>E009</x:v>
      </x:c>
      <x:c r="G185" s="14" t="str">
        <x:v>AI-created commitment after policy and confidence checks</x:v>
      </x:c>
    </x:row>
    <x:row r="186">
      <x:c r="A186" s="14" t="str">
        <x:v>H000185</x:v>
      </x:c>
      <x:c r="B186" s="14" t="str">
        <x:v>P00066</x:v>
      </x:c>
      <x:c r="C186" s="16" t="str">
        <x:v>2026-04-26 14:00:00</x:v>
      </x:c>
      <x:c r="D186" s="14" t="str">
        <x:v>Open</x:v>
      </x:c>
      <x:c r="E186" s="14" t="str">
        <x:v>In Progress</x:v>
      </x:c>
      <x:c r="F186" s="14" t="str">
        <x:v>E009</x:v>
      </x:c>
      <x:c r="G186" s="14" t="str">
        <x:v>Owner update or workflow transition</x:v>
      </x:c>
    </x:row>
    <x:row r="187">
      <x:c r="A187" s="14" t="str">
        <x:v>H000186</x:v>
      </x:c>
      <x:c r="B187" s="14" t="str">
        <x:v>P00066</x:v>
      </x:c>
      <x:c r="C187" s="16" t="str">
        <x:v>2026-04-27 11:00:00</x:v>
      </x:c>
      <x:c r="D187" s="14" t="str">
        <x:v>In Progress</x:v>
      </x:c>
      <x:c r="E187" s="14" t="str">
        <x:v>Fulfilled</x:v>
      </x:c>
      <x:c r="F187" s="14" t="str">
        <x:v>E009</x:v>
      </x:c>
      <x:c r="G187" s="14" t="str">
        <x:v>System SLA evaluation or owner completion</x:v>
      </x:c>
    </x:row>
    <x:row r="188">
      <x:c r="A188" s="14" t="str">
        <x:v>H000187</x:v>
      </x:c>
      <x:c r="B188" s="14" t="str">
        <x:v>P00067</x:v>
      </x:c>
      <x:c r="C188" s="16" t="str">
        <x:v>2026-01-18 16:00:00</x:v>
      </x:c>
      <x:c r="D188" s="14"/>
      <x:c r="E188" s="14" t="str">
        <x:v>Open</x:v>
      </x:c>
      <x:c r="F188" s="14" t="str">
        <x:v>E014</x:v>
      </x:c>
      <x:c r="G188" s="14" t="str">
        <x:v>AI-created commitment after policy and confidence checks</x:v>
      </x:c>
    </x:row>
    <x:row r="189">
      <x:c r="A189" s="14" t="str">
        <x:v>H000188</x:v>
      </x:c>
      <x:c r="B189" s="14" t="str">
        <x:v>P00067</x:v>
      </x:c>
      <x:c r="C189" s="16" t="str">
        <x:v>2026-01-18 20:00:00</x:v>
      </x:c>
      <x:c r="D189" s="14" t="str">
        <x:v>Open</x:v>
      </x:c>
      <x:c r="E189" s="14" t="str">
        <x:v>In Progress</x:v>
      </x:c>
      <x:c r="F189" s="14" t="str">
        <x:v>E014</x:v>
      </x:c>
      <x:c r="G189" s="14" t="str">
        <x:v>Owner update or workflow transition</x:v>
      </x:c>
    </x:row>
    <x:row r="190">
      <x:c r="A190" s="14" t="str">
        <x:v>H000189</x:v>
      </x:c>
      <x:c r="B190" s="14" t="str">
        <x:v>P00067</x:v>
      </x:c>
      <x:c r="C190" s="16" t="str">
        <x:v>2026-01-20 14:00:00</x:v>
      </x:c>
      <x:c r="D190" s="14" t="str">
        <x:v>In Progress</x:v>
      </x:c>
      <x:c r="E190" s="14" t="str">
        <x:v>Fulfilled</x:v>
      </x:c>
      <x:c r="F190" s="14" t="str">
        <x:v>E014</x:v>
      </x:c>
      <x:c r="G190" s="14" t="str">
        <x:v>System SLA evaluation or owner completion</x:v>
      </x:c>
    </x:row>
    <x:row r="191">
      <x:c r="A191" s="14" t="str">
        <x:v>H000190</x:v>
      </x:c>
      <x:c r="B191" s="14" t="str">
        <x:v>P00068</x:v>
      </x:c>
      <x:c r="C191" s="16" t="str">
        <x:v>2026-02-09 23:00:00</x:v>
      </x:c>
      <x:c r="D191" s="14"/>
      <x:c r="E191" s="14" t="str">
        <x:v>Open</x:v>
      </x:c>
      <x:c r="F191" s="14" t="str">
        <x:v>E019</x:v>
      </x:c>
      <x:c r="G191" s="14" t="str">
        <x:v>AI-created commitment after policy and confidence checks</x:v>
      </x:c>
    </x:row>
    <x:row r="192">
      <x:c r="A192" s="14" t="str">
        <x:v>H000191</x:v>
      </x:c>
      <x:c r="B192" s="14" t="str">
        <x:v>P00068</x:v>
      </x:c>
      <x:c r="C192" s="16" t="str">
        <x:v>2026-02-10 11:00:00</x:v>
      </x:c>
      <x:c r="D192" s="14" t="str">
        <x:v>Open</x:v>
      </x:c>
      <x:c r="E192" s="14" t="str">
        <x:v>In Progress</x:v>
      </x:c>
      <x:c r="F192" s="14" t="str">
        <x:v>E019</x:v>
      </x:c>
      <x:c r="G192" s="14" t="str">
        <x:v>Owner update or workflow transition</x:v>
      </x:c>
    </x:row>
    <x:row r="193">
      <x:c r="A193" s="14" t="str">
        <x:v>H000192</x:v>
      </x:c>
      <x:c r="B193" s="14" t="str">
        <x:v>P00068</x:v>
      </x:c>
      <x:c r="C193" s="16" t="str">
        <x:v>2026-02-13 05:00:00</x:v>
      </x:c>
      <x:c r="D193" s="14" t="str">
        <x:v>In Progress</x:v>
      </x:c>
      <x:c r="E193" s="14" t="str">
        <x:v>Fulfilled</x:v>
      </x:c>
      <x:c r="F193" s="14" t="str">
        <x:v>E019</x:v>
      </x:c>
      <x:c r="G193" s="14" t="str">
        <x:v>System SLA evaluation or owner completion</x:v>
      </x:c>
    </x:row>
    <x:row r="194">
      <x:c r="A194" s="14" t="str">
        <x:v>H000193</x:v>
      </x:c>
      <x:c r="B194" s="14" t="str">
        <x:v>P00069</x:v>
      </x:c>
      <x:c r="C194" s="16" t="str">
        <x:v>2026-03-02 16:00:00</x:v>
      </x:c>
      <x:c r="D194" s="14"/>
      <x:c r="E194" s="14" t="str">
        <x:v>Open</x:v>
      </x:c>
      <x:c r="F194" s="14" t="str">
        <x:v>E024</x:v>
      </x:c>
      <x:c r="G194" s="14" t="str">
        <x:v>AI-created commitment after policy and confidence checks</x:v>
      </x:c>
    </x:row>
    <x:row r="195">
      <x:c r="A195" s="14" t="str">
        <x:v>H000194</x:v>
      </x:c>
      <x:c r="B195" s="14" t="str">
        <x:v>P00069</x:v>
      </x:c>
      <x:c r="C195" s="16" t="str">
        <x:v>2026-03-03 21:00:00</x:v>
      </x:c>
      <x:c r="D195" s="14" t="str">
        <x:v>Open</x:v>
      </x:c>
      <x:c r="E195" s="14" t="str">
        <x:v>In Progress</x:v>
      </x:c>
      <x:c r="F195" s="14" t="str">
        <x:v>E024</x:v>
      </x:c>
      <x:c r="G195" s="14" t="str">
        <x:v>Owner update or workflow transition</x:v>
      </x:c>
    </x:row>
    <x:row r="196">
      <x:c r="A196" s="14" t="str">
        <x:v>H000195</x:v>
      </x:c>
      <x:c r="B196" s="14" t="str">
        <x:v>P00069</x:v>
      </x:c>
      <x:c r="C196" s="16" t="str">
        <x:v>2026-03-06 15:00:00</x:v>
      </x:c>
      <x:c r="D196" s="14" t="str">
        <x:v>In Progress</x:v>
      </x:c>
      <x:c r="E196" s="14" t="str">
        <x:v>Fulfilled</x:v>
      </x:c>
      <x:c r="F196" s="14" t="str">
        <x:v>E024</x:v>
      </x:c>
      <x:c r="G196" s="14" t="str">
        <x:v>System SLA evaluation or owner completion</x:v>
      </x:c>
    </x:row>
    <x:row r="197">
      <x:c r="A197" s="14" t="str">
        <x:v>H000196</x:v>
      </x:c>
      <x:c r="B197" s="14" t="str">
        <x:v>P00070</x:v>
      </x:c>
      <x:c r="C197" s="16" t="str">
        <x:v>2026-03-25 01:00:00</x:v>
      </x:c>
      <x:c r="D197" s="14"/>
      <x:c r="E197" s="14" t="str">
        <x:v>Open</x:v>
      </x:c>
      <x:c r="F197" s="14" t="str">
        <x:v>E029</x:v>
      </x:c>
      <x:c r="G197" s="14" t="str">
        <x:v>AI-created commitment after policy and confidence checks</x:v>
      </x:c>
    </x:row>
    <x:row r="198">
      <x:c r="A198" s="14" t="str">
        <x:v>H000197</x:v>
      </x:c>
      <x:c r="B198" s="14" t="str">
        <x:v>P00070</x:v>
      </x:c>
      <x:c r="C198" s="16" t="str">
        <x:v>2026-03-25 19:00:00</x:v>
      </x:c>
      <x:c r="D198" s="14" t="str">
        <x:v>Open</x:v>
      </x:c>
      <x:c r="E198" s="14" t="str">
        <x:v>In Progress</x:v>
      </x:c>
      <x:c r="F198" s="14" t="str">
        <x:v>E029</x:v>
      </x:c>
      <x:c r="G198" s="14" t="str">
        <x:v>Owner update or workflow transition</x:v>
      </x:c>
    </x:row>
    <x:row r="199">
      <x:c r="A199" s="14" t="str">
        <x:v>H000198</x:v>
      </x:c>
      <x:c r="B199" s="14" t="str">
        <x:v>P00070</x:v>
      </x:c>
      <x:c r="C199" s="16" t="str">
        <x:v>2026-04-02 23:00:00</x:v>
      </x:c>
      <x:c r="D199" s="14" t="str">
        <x:v>In Progress</x:v>
      </x:c>
      <x:c r="E199" s="14" t="str">
        <x:v>Overdue</x:v>
      </x:c>
      <x:c r="F199" s="14" t="str">
        <x:v>E029</x:v>
      </x:c>
      <x:c r="G199" s="14" t="str">
        <x:v>System SLA evaluation or owner completion</x:v>
      </x:c>
    </x:row>
    <x:row r="200">
      <x:c r="A200" s="14" t="str">
        <x:v>H000199</x:v>
      </x:c>
      <x:c r="B200" s="14" t="str">
        <x:v>P00071</x:v>
      </x:c>
      <x:c r="C200" s="16" t="str">
        <x:v>2026-04-16 09:00:00</x:v>
      </x:c>
      <x:c r="D200" s="14"/>
      <x:c r="E200" s="14" t="str">
        <x:v>Open</x:v>
      </x:c>
      <x:c r="F200" s="14" t="str">
        <x:v>E034</x:v>
      </x:c>
      <x:c r="G200" s="14" t="str">
        <x:v>AI-created commitment after policy and confidence checks</x:v>
      </x:c>
    </x:row>
    <x:row r="201">
      <x:c r="A201" s="14" t="str">
        <x:v>H000200</x:v>
      </x:c>
      <x:c r="B201" s="14" t="str">
        <x:v>P00071</x:v>
      </x:c>
      <x:c r="C201" s="16" t="str">
        <x:v>2026-04-17 14:00:00</x:v>
      </x:c>
      <x:c r="D201" s="14" t="str">
        <x:v>Open</x:v>
      </x:c>
      <x:c r="E201" s="14" t="str">
        <x:v>In Progress</x:v>
      </x:c>
      <x:c r="F201" s="14" t="str">
        <x:v>E034</x:v>
      </x:c>
      <x:c r="G201" s="14" t="str">
        <x:v>Owner update or workflow transition</x:v>
      </x:c>
    </x:row>
    <x:row r="202">
      <x:c r="A202" s="14" t="str">
        <x:v>H000201</x:v>
      </x:c>
      <x:c r="B202" s="14" t="str">
        <x:v>P00071</x:v>
      </x:c>
      <x:c r="C202" s="16" t="str">
        <x:v>2026-04-16 22:00:00</x:v>
      </x:c>
      <x:c r="D202" s="14" t="str">
        <x:v>In Progress</x:v>
      </x:c>
      <x:c r="E202" s="14" t="str">
        <x:v>Fulfilled</x:v>
      </x:c>
      <x:c r="F202" s="14" t="str">
        <x:v>E034</x:v>
      </x:c>
      <x:c r="G202" s="14" t="str">
        <x:v>System SLA evaluation or owner completion</x:v>
      </x:c>
    </x:row>
    <x:row r="203">
      <x:c r="A203" s="14" t="str">
        <x:v>H000202</x:v>
      </x:c>
      <x:c r="B203" s="14" t="str">
        <x:v>P00072</x:v>
      </x:c>
      <x:c r="C203" s="16" t="str">
        <x:v>2026-01-08 16:00:00</x:v>
      </x:c>
      <x:c r="D203" s="14"/>
      <x:c r="E203" s="14" t="str">
        <x:v>Open</x:v>
      </x:c>
      <x:c r="F203" s="14" t="str">
        <x:v>E039</x:v>
      </x:c>
      <x:c r="G203" s="14" t="str">
        <x:v>AI-created commitment after policy and confidence checks</x:v>
      </x:c>
    </x:row>
    <x:row r="204">
      <x:c r="A204" s="14" t="str">
        <x:v>H000203</x:v>
      </x:c>
      <x:c r="B204" s="14" t="str">
        <x:v>P00072</x:v>
      </x:c>
      <x:c r="C204" s="16" t="str">
        <x:v>2026-01-08 23:00:00</x:v>
      </x:c>
      <x:c r="D204" s="14" t="str">
        <x:v>Open</x:v>
      </x:c>
      <x:c r="E204" s="14" t="str">
        <x:v>In Progress</x:v>
      </x:c>
      <x:c r="F204" s="14" t="str">
        <x:v>E039</x:v>
      </x:c>
      <x:c r="G204" s="14" t="str">
        <x:v>Owner update or workflow transition</x:v>
      </x:c>
    </x:row>
    <x:row r="205">
      <x:c r="A205" s="14" t="str">
        <x:v>H000204</x:v>
      </x:c>
      <x:c r="B205" s="14" t="str">
        <x:v>P00072</x:v>
      </x:c>
      <x:c r="C205" s="16" t="str">
        <x:v>2026-01-10 01:00:00</x:v>
      </x:c>
      <x:c r="D205" s="14" t="str">
        <x:v>In Progress</x:v>
      </x:c>
      <x:c r="E205" s="14" t="str">
        <x:v>Fulfilled</x:v>
      </x:c>
      <x:c r="F205" s="14" t="str">
        <x:v>E039</x:v>
      </x:c>
      <x:c r="G205" s="14" t="str">
        <x:v>System SLA evaluation or owner completion</x:v>
      </x:c>
    </x:row>
    <x:row r="206">
      <x:c r="A206" s="14" t="str">
        <x:v>H000205</x:v>
      </x:c>
      <x:c r="B206" s="14" t="str">
        <x:v>P00073</x:v>
      </x:c>
      <x:c r="C206" s="16" t="str">
        <x:v>2026-01-29 16:00:00</x:v>
      </x:c>
      <x:c r="D206" s="14"/>
      <x:c r="E206" s="14" t="str">
        <x:v>Open</x:v>
      </x:c>
      <x:c r="F206" s="14" t="str">
        <x:v>E004</x:v>
      </x:c>
      <x:c r="G206" s="14" t="str">
        <x:v>AI-created commitment after policy and confidence checks</x:v>
      </x:c>
    </x:row>
    <x:row r="207">
      <x:c r="A207" s="14" t="str">
        <x:v>H000206</x:v>
      </x:c>
      <x:c r="B207" s="14" t="str">
        <x:v>P00073</x:v>
      </x:c>
      <x:c r="C207" s="16" t="str">
        <x:v>2026-01-30 19:00:00</x:v>
      </x:c>
      <x:c r="D207" s="14" t="str">
        <x:v>Open</x:v>
      </x:c>
      <x:c r="E207" s="14" t="str">
        <x:v>In Progress</x:v>
      </x:c>
      <x:c r="F207" s="14" t="str">
        <x:v>E004</x:v>
      </x:c>
      <x:c r="G207" s="14" t="str">
        <x:v>Owner update or workflow transition</x:v>
      </x:c>
    </x:row>
    <x:row r="208">
      <x:c r="A208" s="14" t="str">
        <x:v>H000207</x:v>
      </x:c>
      <x:c r="B208" s="14" t="str">
        <x:v>P00073</x:v>
      </x:c>
      <x:c r="C208" s="16" t="str">
        <x:v>2026-02-02 21:00:00</x:v>
      </x:c>
      <x:c r="D208" s="14" t="str">
        <x:v>In Progress</x:v>
      </x:c>
      <x:c r="E208" s="14" t="str">
        <x:v>Fulfilled</x:v>
      </x:c>
      <x:c r="F208" s="14" t="str">
        <x:v>E004</x:v>
      </x:c>
      <x:c r="G208" s="14" t="str">
        <x:v>System SLA evaluation or owner completion</x:v>
      </x:c>
    </x:row>
    <x:row r="209">
      <x:c r="A209" s="14" t="str">
        <x:v>H000208</x:v>
      </x:c>
      <x:c r="B209" s="14" t="str">
        <x:v>P00074</x:v>
      </x:c>
      <x:c r="C209" s="16" t="str">
        <x:v>2026-02-20 19:00:00</x:v>
      </x:c>
      <x:c r="D209" s="14"/>
      <x:c r="E209" s="14" t="str">
        <x:v>Open</x:v>
      </x:c>
      <x:c r="F209" s="14" t="str">
        <x:v>E009</x:v>
      </x:c>
      <x:c r="G209" s="14" t="str">
        <x:v>AI-created commitment after policy and confidence checks</x:v>
      </x:c>
    </x:row>
    <x:row r="210">
      <x:c r="A210" s="14" t="str">
        <x:v>H000209</x:v>
      </x:c>
      <x:c r="B210" s="14" t="str">
        <x:v>P00074</x:v>
      </x:c>
      <x:c r="C210" s="16" t="str">
        <x:v>2026-02-21 20:00:00</x:v>
      </x:c>
      <x:c r="D210" s="14" t="str">
        <x:v>Open</x:v>
      </x:c>
      <x:c r="E210" s="14" t="str">
        <x:v>In Progress</x:v>
      </x:c>
      <x:c r="F210" s="14" t="str">
        <x:v>E009</x:v>
      </x:c>
      <x:c r="G210" s="14" t="str">
        <x:v>Owner update or workflow transition</x:v>
      </x:c>
    </x:row>
    <x:row r="211">
      <x:c r="A211" s="14" t="str">
        <x:v>H000210</x:v>
      </x:c>
      <x:c r="B211" s="14" t="str">
        <x:v>P00074</x:v>
      </x:c>
      <x:c r="C211" s="16" t="str">
        <x:v>2026-02-25 04:00:00</x:v>
      </x:c>
      <x:c r="D211" s="14" t="str">
        <x:v>In Progress</x:v>
      </x:c>
      <x:c r="E211" s="14" t="str">
        <x:v>Fulfilled</x:v>
      </x:c>
      <x:c r="F211" s="14" t="str">
        <x:v>E009</x:v>
      </x:c>
      <x:c r="G211" s="14" t="str">
        <x:v>System SLA evaluation or owner completion</x:v>
      </x:c>
    </x:row>
    <x:row r="212">
      <x:c r="A212" s="14" t="str">
        <x:v>H000211</x:v>
      </x:c>
      <x:c r="B212" s="14" t="str">
        <x:v>P00075</x:v>
      </x:c>
      <x:c r="C212" s="16" t="str">
        <x:v>2026-03-15 08:00:00</x:v>
      </x:c>
      <x:c r="D212" s="14"/>
      <x:c r="E212" s="14" t="str">
        <x:v>Open</x:v>
      </x:c>
      <x:c r="F212" s="14" t="str">
        <x:v>E014</x:v>
      </x:c>
      <x:c r="G212" s="14" t="str">
        <x:v>AI-created commitment after policy and confidence checks</x:v>
      </x:c>
    </x:row>
    <x:row r="213">
      <x:c r="A213" s="14" t="str">
        <x:v>H000212</x:v>
      </x:c>
      <x:c r="B213" s="14" t="str">
        <x:v>P00075</x:v>
      </x:c>
      <x:c r="C213" s="16" t="str">
        <x:v>2026-03-16 02:00:00</x:v>
      </x:c>
      <x:c r="D213" s="14" t="str">
        <x:v>Open</x:v>
      </x:c>
      <x:c r="E213" s="14" t="str">
        <x:v>In Progress</x:v>
      </x:c>
      <x:c r="F213" s="14" t="str">
        <x:v>E014</x:v>
      </x:c>
      <x:c r="G213" s="14" t="str">
        <x:v>Owner update or workflow transition</x:v>
      </x:c>
    </x:row>
    <x:row r="214">
      <x:c r="A214" s="14" t="str">
        <x:v>H000213</x:v>
      </x:c>
      <x:c r="B214" s="14" t="str">
        <x:v>P00075</x:v>
      </x:c>
      <x:c r="C214" s="16" t="str">
        <x:v>2026-03-20 14:00:00</x:v>
      </x:c>
      <x:c r="D214" s="14" t="str">
        <x:v>In Progress</x:v>
      </x:c>
      <x:c r="E214" s="14" t="str">
        <x:v>Overdue</x:v>
      </x:c>
      <x:c r="F214" s="14" t="str">
        <x:v>E014</x:v>
      </x:c>
      <x:c r="G214" s="14" t="str">
        <x:v>System SLA evaluation or owner completion</x:v>
      </x:c>
    </x:row>
    <x:row r="215">
      <x:c r="A215" s="14" t="str">
        <x:v>H000214</x:v>
      </x:c>
      <x:c r="B215" s="14" t="str">
        <x:v>P00076</x:v>
      </x:c>
      <x:c r="C215" s="16" t="str">
        <x:v>2026-04-06 14:00:00</x:v>
      </x:c>
      <x:c r="D215" s="14"/>
      <x:c r="E215" s="14" t="str">
        <x:v>Open</x:v>
      </x:c>
      <x:c r="F215" s="14" t="str">
        <x:v>E019</x:v>
      </x:c>
      <x:c r="G215" s="14" t="str">
        <x:v>AI-created commitment after policy and confidence checks</x:v>
      </x:c>
    </x:row>
    <x:row r="216">
      <x:c r="A216" s="14" t="str">
        <x:v>H000215</x:v>
      </x:c>
      <x:c r="B216" s="14" t="str">
        <x:v>P00076</x:v>
      </x:c>
      <x:c r="C216" s="16" t="str">
        <x:v>2026-04-07 12:00:00</x:v>
      </x:c>
      <x:c r="D216" s="14" t="str">
        <x:v>Open</x:v>
      </x:c>
      <x:c r="E216" s="14" t="str">
        <x:v>Reassigned</x:v>
      </x:c>
      <x:c r="F216" s="14" t="str">
        <x:v>E019</x:v>
      </x:c>
      <x:c r="G216" s="14" t="str">
        <x:v>Owner update or workflow transition</x:v>
      </x:c>
    </x:row>
    <x:row r="217">
      <x:c r="A217" s="14" t="str">
        <x:v>H000216</x:v>
      </x:c>
      <x:c r="B217" s="14" t="str">
        <x:v>P00077</x:v>
      </x:c>
      <x:c r="C217" s="16" t="str">
        <x:v>2026-04-28 18:00:00</x:v>
      </x:c>
      <x:c r="D217" s="14"/>
      <x:c r="E217" s="14" t="str">
        <x:v>Open</x:v>
      </x:c>
      <x:c r="F217" s="14" t="str">
        <x:v>E024</x:v>
      </x:c>
      <x:c r="G217" s="14" t="str">
        <x:v>AI-created commitment after policy and confidence checks</x:v>
      </x:c>
    </x:row>
    <x:row r="218">
      <x:c r="A218" s="14" t="str">
        <x:v>H000217</x:v>
      </x:c>
      <x:c r="B218" s="14" t="str">
        <x:v>P00077</x:v>
      </x:c>
      <x:c r="C218" s="16" t="str">
        <x:v>2026-04-28 21:00:00</x:v>
      </x:c>
      <x:c r="D218" s="14" t="str">
        <x:v>Open</x:v>
      </x:c>
      <x:c r="E218" s="14" t="str">
        <x:v>Reassigned</x:v>
      </x:c>
      <x:c r="F218" s="14" t="str">
        <x:v>E024</x:v>
      </x:c>
      <x:c r="G218" s="14" t="str">
        <x:v>Owner update or workflow transition</x:v>
      </x:c>
    </x:row>
    <x:row r="219">
      <x:c r="A219" s="14" t="str">
        <x:v>H000218</x:v>
      </x:c>
      <x:c r="B219" s="14" t="str">
        <x:v>P00078</x:v>
      </x:c>
      <x:c r="C219" s="16" t="str">
        <x:v>2026-01-19 14:00:00</x:v>
      </x:c>
      <x:c r="D219" s="14"/>
      <x:c r="E219" s="14" t="str">
        <x:v>Open</x:v>
      </x:c>
      <x:c r="F219" s="14" t="str">
        <x:v>E029</x:v>
      </x:c>
      <x:c r="G219" s="14" t="str">
        <x:v>AI-created commitment after policy and confidence checks</x:v>
      </x:c>
    </x:row>
    <x:row r="220">
      <x:c r="A220" s="14" t="str">
        <x:v>H000219</x:v>
      </x:c>
      <x:c r="B220" s="14" t="str">
        <x:v>P00078</x:v>
      </x:c>
      <x:c r="C220" s="16" t="str">
        <x:v>2026-01-19 19:00:00</x:v>
      </x:c>
      <x:c r="D220" s="14" t="str">
        <x:v>Open</x:v>
      </x:c>
      <x:c r="E220" s="14" t="str">
        <x:v>In Progress</x:v>
      </x:c>
      <x:c r="F220" s="14" t="str">
        <x:v>E029</x:v>
      </x:c>
      <x:c r="G220" s="14" t="str">
        <x:v>Owner update or workflow transition</x:v>
      </x:c>
    </x:row>
    <x:row r="221">
      <x:c r="A221" s="14" t="str">
        <x:v>H000220</x:v>
      </x:c>
      <x:c r="B221" s="14" t="str">
        <x:v>P00078</x:v>
      </x:c>
      <x:c r="C221" s="16" t="str">
        <x:v>2026-01-20 17:00:00</x:v>
      </x:c>
      <x:c r="D221" s="14" t="str">
        <x:v>In Progress</x:v>
      </x:c>
      <x:c r="E221" s="14" t="str">
        <x:v>Overdue</x:v>
      </x:c>
      <x:c r="F221" s="14" t="str">
        <x:v>E029</x:v>
      </x:c>
      <x:c r="G221" s="14" t="str">
        <x:v>System SLA evaluation or owner completion</x:v>
      </x:c>
    </x:row>
    <x:row r="222">
      <x:c r="A222" s="14" t="str">
        <x:v>H000221</x:v>
      </x:c>
      <x:c r="B222" s="14" t="str">
        <x:v>P00079</x:v>
      </x:c>
      <x:c r="C222" s="16" t="str">
        <x:v>2026-02-11 01:00:00</x:v>
      </x:c>
      <x:c r="D222" s="14"/>
      <x:c r="E222" s="14" t="str">
        <x:v>Open</x:v>
      </x:c>
      <x:c r="F222" s="14" t="str">
        <x:v>E034</x:v>
      </x:c>
      <x:c r="G222" s="14" t="str">
        <x:v>AI-created commitment after policy and confidence checks</x:v>
      </x:c>
    </x:row>
    <x:row r="223">
      <x:c r="A223" s="14" t="str">
        <x:v>H000222</x:v>
      </x:c>
      <x:c r="B223" s="14" t="str">
        <x:v>P00079</x:v>
      </x:c>
      <x:c r="C223" s="16" t="str">
        <x:v>2026-02-11 12:00:00</x:v>
      </x:c>
      <x:c r="D223" s="14" t="str">
        <x:v>Open</x:v>
      </x:c>
      <x:c r="E223" s="14" t="str">
        <x:v>Reassigned</x:v>
      </x:c>
      <x:c r="F223" s="14" t="str">
        <x:v>E034</x:v>
      </x:c>
      <x:c r="G223" s="14" t="str">
        <x:v>Owner update or workflow transition</x:v>
      </x:c>
    </x:row>
    <x:row r="224">
      <x:c r="A224" s="14" t="str">
        <x:v>H000223</x:v>
      </x:c>
      <x:c r="B224" s="14" t="str">
        <x:v>P00080</x:v>
      </x:c>
      <x:c r="C224" s="16" t="str">
        <x:v>2026-03-05 06:00:00</x:v>
      </x:c>
      <x:c r="D224" s="14"/>
      <x:c r="E224" s="14" t="str">
        <x:v>Open</x:v>
      </x:c>
      <x:c r="F224" s="14" t="str">
        <x:v>E039</x:v>
      </x:c>
      <x:c r="G224" s="14" t="str">
        <x:v>AI-created commitment after policy and confidence checks</x:v>
      </x:c>
    </x:row>
    <x:row r="225">
      <x:c r="A225" s="14" t="str">
        <x:v>H000224</x:v>
      </x:c>
      <x:c r="B225" s="14" t="str">
        <x:v>P00080</x:v>
      </x:c>
      <x:c r="C225" s="16" t="str">
        <x:v>2026-03-05 15:00:00</x:v>
      </x:c>
      <x:c r="D225" s="14" t="str">
        <x:v>Open</x:v>
      </x:c>
      <x:c r="E225" s="14" t="str">
        <x:v>In Progress</x:v>
      </x:c>
      <x:c r="F225" s="14" t="str">
        <x:v>E039</x:v>
      </x:c>
      <x:c r="G225" s="14" t="str">
        <x:v>Owner update or workflow transition</x:v>
      </x:c>
    </x:row>
    <x:row r="226">
      <x:c r="A226" s="14" t="str">
        <x:v>H000225</x:v>
      </x:c>
      <x:c r="B226" s="14" t="str">
        <x:v>P00080</x:v>
      </x:c>
      <x:c r="C226" s="16" t="str">
        <x:v>2026-03-12 17:00:00</x:v>
      </x:c>
      <x:c r="D226" s="14" t="str">
        <x:v>In Progress</x:v>
      </x:c>
      <x:c r="E226" s="14" t="str">
        <x:v>Escalated</x:v>
      </x:c>
      <x:c r="F226" s="14" t="str">
        <x:v>E039</x:v>
      </x:c>
      <x:c r="G226" s="14" t="str">
        <x:v>System SLA evaluation or owner completion</x:v>
      </x:c>
    </x:row>
    <x:row r="227">
      <x:c r="A227" s="14" t="str">
        <x:v>H000226</x:v>
      </x:c>
      <x:c r="B227" s="14" t="str">
        <x:v>P00081</x:v>
      </x:c>
      <x:c r="C227" s="16" t="str">
        <x:v>2026-03-27 18:00:00</x:v>
      </x:c>
      <x:c r="D227" s="14"/>
      <x:c r="E227" s="14" t="str">
        <x:v>Open</x:v>
      </x:c>
      <x:c r="F227" s="14" t="str">
        <x:v>E004</x:v>
      </x:c>
      <x:c r="G227" s="14" t="str">
        <x:v>AI-created commitment after policy and confidence checks</x:v>
      </x:c>
    </x:row>
    <x:row r="228">
      <x:c r="A228" s="14" t="str">
        <x:v>H000227</x:v>
      </x:c>
      <x:c r="B228" s="14" t="str">
        <x:v>P00081</x:v>
      </x:c>
      <x:c r="C228" s="16" t="str">
        <x:v>2026-03-28 14:00:00</x:v>
      </x:c>
      <x:c r="D228" s="14" t="str">
        <x:v>Open</x:v>
      </x:c>
      <x:c r="E228" s="14" t="str">
        <x:v>In Progress</x:v>
      </x:c>
      <x:c r="F228" s="14" t="str">
        <x:v>E004</x:v>
      </x:c>
      <x:c r="G228" s="14" t="str">
        <x:v>Owner update or workflow transition</x:v>
      </x:c>
    </x:row>
    <x:row r="229">
      <x:c r="A229" s="14" t="str">
        <x:v>H000228</x:v>
      </x:c>
      <x:c r="B229" s="14" t="str">
        <x:v>P00081</x:v>
      </x:c>
      <x:c r="C229" s="16" t="str">
        <x:v>2026-03-31 01:00:00</x:v>
      </x:c>
      <x:c r="D229" s="14" t="str">
        <x:v>In Progress</x:v>
      </x:c>
      <x:c r="E229" s="14" t="str">
        <x:v>Fulfilled</x:v>
      </x:c>
      <x:c r="F229" s="14" t="str">
        <x:v>E004</x:v>
      </x:c>
      <x:c r="G229" s="14" t="str">
        <x:v>System SLA evaluation or owner completion</x:v>
      </x:c>
    </x:row>
    <x:row r="230">
      <x:c r="A230" s="14" t="str">
        <x:v>H000229</x:v>
      </x:c>
      <x:c r="B230" s="14" t="str">
        <x:v>P00082</x:v>
      </x:c>
      <x:c r="C230" s="16" t="str">
        <x:v>2026-04-17 13:00:00</x:v>
      </x:c>
      <x:c r="D230" s="14"/>
      <x:c r="E230" s="14" t="str">
        <x:v>Open</x:v>
      </x:c>
      <x:c r="F230" s="14" t="str">
        <x:v>E009</x:v>
      </x:c>
      <x:c r="G230" s="14" t="str">
        <x:v>AI-created commitment after policy and confidence checks</x:v>
      </x:c>
    </x:row>
    <x:row r="231">
      <x:c r="A231" s="14" t="str">
        <x:v>H000230</x:v>
      </x:c>
      <x:c r="B231" s="14" t="str">
        <x:v>P00082</x:v>
      </x:c>
      <x:c r="C231" s="16" t="str">
        <x:v>2026-04-18 15:00:00</x:v>
      </x:c>
      <x:c r="D231" s="14" t="str">
        <x:v>Open</x:v>
      </x:c>
      <x:c r="E231" s="14" t="str">
        <x:v>In Progress</x:v>
      </x:c>
      <x:c r="F231" s="14" t="str">
        <x:v>E009</x:v>
      </x:c>
      <x:c r="G231" s="14" t="str">
        <x:v>Owner update or workflow transition</x:v>
      </x:c>
    </x:row>
    <x:row r="232">
      <x:c r="A232" s="14" t="str">
        <x:v>H000231</x:v>
      </x:c>
      <x:c r="B232" s="14" t="str">
        <x:v>P00082</x:v>
      </x:c>
      <x:c r="C232" s="16" t="str">
        <x:v>2026-04-25 10:00:00</x:v>
      </x:c>
      <x:c r="D232" s="14" t="str">
        <x:v>In Progress</x:v>
      </x:c>
      <x:c r="E232" s="14" t="str">
        <x:v>Fulfilled</x:v>
      </x:c>
      <x:c r="F232" s="14" t="str">
        <x:v>E009</x:v>
      </x:c>
      <x:c r="G232" s="14" t="str">
        <x:v>System SLA evaluation or owner completion</x:v>
      </x:c>
    </x:row>
    <x:row r="233">
      <x:c r="A233" s="14" t="str">
        <x:v>H000232</x:v>
      </x:c>
      <x:c r="B233" s="14" t="str">
        <x:v>P00083</x:v>
      </x:c>
      <x:c r="C233" s="16" t="str">
        <x:v>2026-01-09 20:00:00</x:v>
      </x:c>
      <x:c r="D233" s="14"/>
      <x:c r="E233" s="14" t="str">
        <x:v>Open</x:v>
      </x:c>
      <x:c r="F233" s="14" t="str">
        <x:v>E014</x:v>
      </x:c>
      <x:c r="G233" s="14" t="str">
        <x:v>AI-created commitment after policy and confidence checks</x:v>
      </x:c>
    </x:row>
    <x:row r="234">
      <x:c r="A234" s="14" t="str">
        <x:v>H000233</x:v>
      </x:c>
      <x:c r="B234" s="14" t="str">
        <x:v>P00083</x:v>
      </x:c>
      <x:c r="C234" s="16" t="str">
        <x:v>2026-01-10 18:00:00</x:v>
      </x:c>
      <x:c r="D234" s="14" t="str">
        <x:v>Open</x:v>
      </x:c>
      <x:c r="E234" s="14" t="str">
        <x:v>In Progress</x:v>
      </x:c>
      <x:c r="F234" s="14" t="str">
        <x:v>E014</x:v>
      </x:c>
      <x:c r="G234" s="14" t="str">
        <x:v>Owner update or workflow transition</x:v>
      </x:c>
    </x:row>
    <x:row r="235">
      <x:c r="A235" s="14" t="str">
        <x:v>H000234</x:v>
      </x:c>
      <x:c r="B235" s="14" t="str">
        <x:v>P00083</x:v>
      </x:c>
      <x:c r="C235" s="16" t="str">
        <x:v>2026-01-13 22:00:00</x:v>
      </x:c>
      <x:c r="D235" s="14" t="str">
        <x:v>In Progress</x:v>
      </x:c>
      <x:c r="E235" s="14" t="str">
        <x:v>Fulfilled</x:v>
      </x:c>
      <x:c r="F235" s="14" t="str">
        <x:v>E014</x:v>
      </x:c>
      <x:c r="G235" s="14" t="str">
        <x:v>System SLA evaluation or owner completion</x:v>
      </x:c>
    </x:row>
    <x:row r="236">
      <x:c r="A236" s="14" t="str">
        <x:v>H000235</x:v>
      </x:c>
      <x:c r="B236" s="14" t="str">
        <x:v>P00084</x:v>
      </x:c>
      <x:c r="C236" s="16" t="str">
        <x:v>2026-02-01 10:00:00</x:v>
      </x:c>
      <x:c r="D236" s="14"/>
      <x:c r="E236" s="14" t="str">
        <x:v>Open</x:v>
      </x:c>
      <x:c r="F236" s="14" t="str">
        <x:v>E019</x:v>
      </x:c>
      <x:c r="G236" s="14" t="str">
        <x:v>AI-created commitment after policy and confidence checks</x:v>
      </x:c>
    </x:row>
    <x:row r="237">
      <x:c r="A237" s="14" t="str">
        <x:v>H000236</x:v>
      </x:c>
      <x:c r="B237" s="14" t="str">
        <x:v>P00084</x:v>
      </x:c>
      <x:c r="C237" s="16" t="str">
        <x:v>2026-02-02 05:00:00</x:v>
      </x:c>
      <x:c r="D237" s="14" t="str">
        <x:v>Open</x:v>
      </x:c>
      <x:c r="E237" s="14" t="str">
        <x:v>Cancelled</x:v>
      </x:c>
      <x:c r="F237" s="14" t="str">
        <x:v>E019</x:v>
      </x:c>
      <x:c r="G237" s="14" t="str">
        <x:v>Owner update or workflow transition</x:v>
      </x:c>
    </x:row>
    <x:row r="238">
      <x:c r="A238" s="14" t="str">
        <x:v>H000237</x:v>
      </x:c>
      <x:c r="B238" s="14" t="str">
        <x:v>P00085</x:v>
      </x:c>
      <x:c r="C238" s="16" t="str">
        <x:v>2026-02-23 15:00:00</x:v>
      </x:c>
      <x:c r="D238" s="14"/>
      <x:c r="E238" s="14" t="str">
        <x:v>Open</x:v>
      </x:c>
      <x:c r="F238" s="14" t="str">
        <x:v>E024</x:v>
      </x:c>
      <x:c r="G238" s="14" t="str">
        <x:v>AI-created commitment after policy and confidence checks</x:v>
      </x:c>
    </x:row>
    <x:row r="239">
      <x:c r="A239" s="14" t="str">
        <x:v>H000238</x:v>
      </x:c>
      <x:c r="B239" s="14" t="str">
        <x:v>P00085</x:v>
      </x:c>
      <x:c r="C239" s="16" t="str">
        <x:v>2026-02-24 07:00:00</x:v>
      </x:c>
      <x:c r="D239" s="14" t="str">
        <x:v>Open</x:v>
      </x:c>
      <x:c r="E239" s="14" t="str">
        <x:v>In Progress</x:v>
      </x:c>
      <x:c r="F239" s="14" t="str">
        <x:v>E024</x:v>
      </x:c>
      <x:c r="G239" s="14" t="str">
        <x:v>Owner update or workflow transition</x:v>
      </x:c>
    </x:row>
    <x:row r="240">
      <x:c r="A240" s="14" t="str">
        <x:v>H000239</x:v>
      </x:c>
      <x:c r="B240" s="14" t="str">
        <x:v>P00085</x:v>
      </x:c>
      <x:c r="C240" s="16" t="str">
        <x:v>2026-03-06 13:00:00</x:v>
      </x:c>
      <x:c r="D240" s="14" t="str">
        <x:v>In Progress</x:v>
      </x:c>
      <x:c r="E240" s="14" t="str">
        <x:v>Fulfilled</x:v>
      </x:c>
      <x:c r="F240" s="14" t="str">
        <x:v>E024</x:v>
      </x:c>
      <x:c r="G240" s="14" t="str">
        <x:v>System SLA evaluation or owner completion</x:v>
      </x:c>
    </x:row>
    <x:row r="241">
      <x:c r="A241" s="14" t="str">
        <x:v>H000240</x:v>
      </x:c>
      <x:c r="B241" s="14" t="str">
        <x:v>P00086</x:v>
      </x:c>
      <x:c r="C241" s="16" t="str">
        <x:v>2026-03-17 18:00:00</x:v>
      </x:c>
      <x:c r="D241" s="14"/>
      <x:c r="E241" s="14" t="str">
        <x:v>Open</x:v>
      </x:c>
      <x:c r="F241" s="14" t="str">
        <x:v>E029</x:v>
      </x:c>
      <x:c r="G241" s="14" t="str">
        <x:v>AI-created commitment after policy and confidence checks</x:v>
      </x:c>
    </x:row>
    <x:row r="242">
      <x:c r="A242" s="14" t="str">
        <x:v>H000241</x:v>
      </x:c>
      <x:c r="B242" s="14" t="str">
        <x:v>P00086</x:v>
      </x:c>
      <x:c r="C242" s="16" t="str">
        <x:v>2026-03-18 00:00:00</x:v>
      </x:c>
      <x:c r="D242" s="14" t="str">
        <x:v>Open</x:v>
      </x:c>
      <x:c r="E242" s="14" t="str">
        <x:v>In Progress</x:v>
      </x:c>
      <x:c r="F242" s="14" t="str">
        <x:v>E029</x:v>
      </x:c>
      <x:c r="G242" s="14" t="str">
        <x:v>Owner update or workflow transition</x:v>
      </x:c>
    </x:row>
    <x:row r="243">
      <x:c r="A243" s="14" t="str">
        <x:v>H000242</x:v>
      </x:c>
      <x:c r="B243" s="14" t="str">
        <x:v>P00086</x:v>
      </x:c>
      <x:c r="C243" s="16" t="str">
        <x:v>2026-03-23 14:00:00</x:v>
      </x:c>
      <x:c r="D243" s="14" t="str">
        <x:v>In Progress</x:v>
      </x:c>
      <x:c r="E243" s="14" t="str">
        <x:v>Overdue</x:v>
      </x:c>
      <x:c r="F243" s="14" t="str">
        <x:v>E029</x:v>
      </x:c>
      <x:c r="G243" s="14" t="str">
        <x:v>System SLA evaluation or owner completion</x:v>
      </x:c>
    </x:row>
    <x:row r="244">
      <x:c r="A244" s="14" t="str">
        <x:v>H000243</x:v>
      </x:c>
      <x:c r="B244" s="14" t="str">
        <x:v>P00087</x:v>
      </x:c>
      <x:c r="C244" s="16" t="str">
        <x:v>2026-04-07 18:00:00</x:v>
      </x:c>
      <x:c r="D244" s="14"/>
      <x:c r="E244" s="14" t="str">
        <x:v>Open</x:v>
      </x:c>
      <x:c r="F244" s="14" t="str">
        <x:v>E034</x:v>
      </x:c>
      <x:c r="G244" s="14" t="str">
        <x:v>AI-created commitment after policy and confidence checks</x:v>
      </x:c>
    </x:row>
    <x:row r="245">
      <x:c r="A245" s="14" t="str">
        <x:v>H000244</x:v>
      </x:c>
      <x:c r="B245" s="14" t="str">
        <x:v>P00087</x:v>
      </x:c>
      <x:c r="C245" s="16" t="str">
        <x:v>2026-04-08 04:00:00</x:v>
      </x:c>
      <x:c r="D245" s="14" t="str">
        <x:v>Open</x:v>
      </x:c>
      <x:c r="E245" s="14" t="str">
        <x:v>In Progress</x:v>
      </x:c>
      <x:c r="F245" s="14" t="str">
        <x:v>E034</x:v>
      </x:c>
      <x:c r="G245" s="14" t="str">
        <x:v>Owner update or workflow transition</x:v>
      </x:c>
    </x:row>
    <x:row r="246">
      <x:c r="A246" s="14" t="str">
        <x:v>H000245</x:v>
      </x:c>
      <x:c r="B246" s="14" t="str">
        <x:v>P00087</x:v>
      </x:c>
      <x:c r="C246" s="16" t="str">
        <x:v>2026-04-09 04:00:00</x:v>
      </x:c>
      <x:c r="D246" s="14" t="str">
        <x:v>In Progress</x:v>
      </x:c>
      <x:c r="E246" s="14" t="str">
        <x:v>Fulfilled</x:v>
      </x:c>
      <x:c r="F246" s="14" t="str">
        <x:v>E034</x:v>
      </x:c>
      <x:c r="G246" s="14" t="str">
        <x:v>System SLA evaluation or owner completion</x:v>
      </x:c>
    </x:row>
    <x:row r="247">
      <x:c r="A247" s="14" t="str">
        <x:v>H000246</x:v>
      </x:c>
      <x:c r="B247" s="14" t="str">
        <x:v>P00088</x:v>
      </x:c>
      <x:c r="C247" s="16" t="str">
        <x:v>2026-04-29 23:00:00</x:v>
      </x:c>
      <x:c r="D247" s="14"/>
      <x:c r="E247" s="14" t="str">
        <x:v>Open</x:v>
      </x:c>
      <x:c r="F247" s="14" t="str">
        <x:v>E039</x:v>
      </x:c>
      <x:c r="G247" s="14" t="str">
        <x:v>AI-created commitment after policy and confidence checks</x:v>
      </x:c>
    </x:row>
    <x:row r="248">
      <x:c r="A248" s="14" t="str">
        <x:v>H000247</x:v>
      </x:c>
      <x:c r="B248" s="14" t="str">
        <x:v>P00088</x:v>
      </x:c>
      <x:c r="C248" s="16" t="str">
        <x:v>2026-04-30 11:00:00</x:v>
      </x:c>
      <x:c r="D248" s="14" t="str">
        <x:v>Open</x:v>
      </x:c>
      <x:c r="E248" s="14" t="str">
        <x:v>In Progress</x:v>
      </x:c>
      <x:c r="F248" s="14" t="str">
        <x:v>E039</x:v>
      </x:c>
      <x:c r="G248" s="14" t="str">
        <x:v>Owner update or workflow transition</x:v>
      </x:c>
    </x:row>
    <x:row r="249">
      <x:c r="A249" s="14" t="str">
        <x:v>H000248</x:v>
      </x:c>
      <x:c r="B249" s="14" t="str">
        <x:v>P00088</x:v>
      </x:c>
      <x:c r="C249" s="16" t="str">
        <x:v>2026-05-05 20:00:00</x:v>
      </x:c>
      <x:c r="D249" s="14" t="str">
        <x:v>In Progress</x:v>
      </x:c>
      <x:c r="E249" s="14" t="str">
        <x:v>Fulfilled</x:v>
      </x:c>
      <x:c r="F249" s="14" t="str">
        <x:v>E039</x:v>
      </x:c>
      <x:c r="G249" s="14" t="str">
        <x:v>System SLA evaluation or owner completion</x:v>
      </x:c>
    </x:row>
    <x:row r="250">
      <x:c r="A250" s="14" t="str">
        <x:v>H000249</x:v>
      </x:c>
      <x:c r="B250" s="14" t="str">
        <x:v>P00089</x:v>
      </x:c>
      <x:c r="C250" s="16" t="str">
        <x:v>2026-01-22 09:00:00</x:v>
      </x:c>
      <x:c r="D250" s="14"/>
      <x:c r="E250" s="14" t="str">
        <x:v>Open</x:v>
      </x:c>
      <x:c r="F250" s="14" t="str">
        <x:v>E004</x:v>
      </x:c>
      <x:c r="G250" s="14" t="str">
        <x:v>AI-created commitment after policy and confidence checks</x:v>
      </x:c>
    </x:row>
    <x:row r="251">
      <x:c r="A251" s="14" t="str">
        <x:v>H000250</x:v>
      </x:c>
      <x:c r="B251" s="14" t="str">
        <x:v>P00089</x:v>
      </x:c>
      <x:c r="C251" s="16" t="str">
        <x:v>2026-01-22 15:00:00</x:v>
      </x:c>
      <x:c r="D251" s="14" t="str">
        <x:v>Open</x:v>
      </x:c>
      <x:c r="E251" s="14" t="str">
        <x:v>In Progress</x:v>
      </x:c>
      <x:c r="F251" s="14" t="str">
        <x:v>E004</x:v>
      </x:c>
      <x:c r="G251" s="14" t="str">
        <x:v>Owner update or workflow transition</x:v>
      </x:c>
    </x:row>
    <x:row r="252">
      <x:c r="A252" s="14" t="str">
        <x:v>H000251</x:v>
      </x:c>
      <x:c r="B252" s="14" t="str">
        <x:v>P00089</x:v>
      </x:c>
      <x:c r="C252" s="16" t="str">
        <x:v>2026-01-24 14:00:00</x:v>
      </x:c>
      <x:c r="D252" s="14" t="str">
        <x:v>In Progress</x:v>
      </x:c>
      <x:c r="E252" s="14" t="str">
        <x:v>Overdue</x:v>
      </x:c>
      <x:c r="F252" s="14" t="str">
        <x:v>E004</x:v>
      </x:c>
      <x:c r="G252" s="14" t="str">
        <x:v>System SLA evaluation or owner completion</x:v>
      </x:c>
    </x:row>
    <x:row r="253">
      <x:c r="A253" s="14" t="str">
        <x:v>H000252</x:v>
      </x:c>
      <x:c r="B253" s="14" t="str">
        <x:v>P00090</x:v>
      </x:c>
      <x:c r="C253" s="16" t="str">
        <x:v>2026-02-13 20:00:00</x:v>
      </x:c>
      <x:c r="D253" s="14"/>
      <x:c r="E253" s="14" t="str">
        <x:v>Open</x:v>
      </x:c>
      <x:c r="F253" s="14" t="str">
        <x:v>E009</x:v>
      </x:c>
      <x:c r="G253" s="14" t="str">
        <x:v>AI-created commitment after policy and confidence checks</x:v>
      </x:c>
    </x:row>
    <x:row r="254">
      <x:c r="A254" s="14" t="str">
        <x:v>H000253</x:v>
      </x:c>
      <x:c r="B254" s="14" t="str">
        <x:v>P00090</x:v>
      </x:c>
      <x:c r="C254" s="16" t="str">
        <x:v>2026-02-14 06:00:00</x:v>
      </x:c>
      <x:c r="D254" s="14" t="str">
        <x:v>Open</x:v>
      </x:c>
      <x:c r="E254" s="14" t="str">
        <x:v>In Progress</x:v>
      </x:c>
      <x:c r="F254" s="14" t="str">
        <x:v>E009</x:v>
      </x:c>
      <x:c r="G254" s="14" t="str">
        <x:v>Owner update or workflow transition</x:v>
      </x:c>
    </x:row>
    <x:row r="255">
      <x:c r="A255" s="14" t="str">
        <x:v>H000254</x:v>
      </x:c>
      <x:c r="B255" s="14" t="str">
        <x:v>P00090</x:v>
      </x:c>
      <x:c r="C255" s="16" t="str">
        <x:v>2026-02-17 04:00:00</x:v>
      </x:c>
      <x:c r="D255" s="14" t="str">
        <x:v>In Progress</x:v>
      </x:c>
      <x:c r="E255" s="14" t="str">
        <x:v>Fulfilled</x:v>
      </x:c>
      <x:c r="F255" s="14" t="str">
        <x:v>E009</x:v>
      </x:c>
      <x:c r="G255" s="14" t="str">
        <x:v>System SLA evaluation or owner completion</x:v>
      </x:c>
    </x:row>
    <x:row r="256">
      <x:c r="A256" s="14" t="str">
        <x:v>H000255</x:v>
      </x:c>
      <x:c r="B256" s="14" t="str">
        <x:v>P00091</x:v>
      </x:c>
      <x:c r="C256" s="16" t="str">
        <x:v>2026-03-06 11:00:00</x:v>
      </x:c>
      <x:c r="D256" s="14"/>
      <x:c r="E256" s="14" t="str">
        <x:v>Open</x:v>
      </x:c>
      <x:c r="F256" s="14" t="str">
        <x:v>E014</x:v>
      </x:c>
      <x:c r="G256" s="14" t="str">
        <x:v>AI-created commitment after policy and confidence checks</x:v>
      </x:c>
    </x:row>
    <x:row r="257">
      <x:c r="A257" s="14" t="str">
        <x:v>H000256</x:v>
      </x:c>
      <x:c r="B257" s="14" t="str">
        <x:v>P00091</x:v>
      </x:c>
      <x:c r="C257" s="16" t="str">
        <x:v>2026-03-07 03:00:00</x:v>
      </x:c>
      <x:c r="D257" s="14" t="str">
        <x:v>Open</x:v>
      </x:c>
      <x:c r="E257" s="14" t="str">
        <x:v>In Progress</x:v>
      </x:c>
      <x:c r="F257" s="14" t="str">
        <x:v>E014</x:v>
      </x:c>
      <x:c r="G257" s="14" t="str">
        <x:v>Owner update or workflow transition</x:v>
      </x:c>
    </x:row>
    <x:row r="258">
      <x:c r="A258" s="14" t="str">
        <x:v>H000257</x:v>
      </x:c>
      <x:c r="B258" s="14" t="str">
        <x:v>P00091</x:v>
      </x:c>
      <x:c r="C258" s="16" t="str">
        <x:v>2026-03-16 18:00:00</x:v>
      </x:c>
      <x:c r="D258" s="14" t="str">
        <x:v>In Progress</x:v>
      </x:c>
      <x:c r="E258" s="14" t="str">
        <x:v>Fulfilled</x:v>
      </x:c>
      <x:c r="F258" s="14" t="str">
        <x:v>E014</x:v>
      </x:c>
      <x:c r="G258" s="14" t="str">
        <x:v>System SLA evaluation or owner completion</x:v>
      </x:c>
    </x:row>
    <x:row r="259">
      <x:c r="A259" s="14" t="str">
        <x:v>H000258</x:v>
      </x:c>
      <x:c r="B259" s="14" t="str">
        <x:v>P00092</x:v>
      </x:c>
      <x:c r="C259" s="16" t="str">
        <x:v>2026-03-28 23:00:00</x:v>
      </x:c>
      <x:c r="D259" s="14"/>
      <x:c r="E259" s="14" t="str">
        <x:v>Open</x:v>
      </x:c>
      <x:c r="F259" s="14" t="str">
        <x:v>E019</x:v>
      </x:c>
      <x:c r="G259" s="14" t="str">
        <x:v>AI-created commitment after policy and confidence checks</x:v>
      </x:c>
    </x:row>
    <x:row r="260">
      <x:c r="A260" s="14" t="str">
        <x:v>H000259</x:v>
      </x:c>
      <x:c r="B260" s="14" t="str">
        <x:v>P00092</x:v>
      </x:c>
      <x:c r="C260" s="16" t="str">
        <x:v>2026-03-29 22:00:00</x:v>
      </x:c>
      <x:c r="D260" s="14" t="str">
        <x:v>Open</x:v>
      </x:c>
      <x:c r="E260" s="14" t="str">
        <x:v>In Progress</x:v>
      </x:c>
      <x:c r="F260" s="14" t="str">
        <x:v>E019</x:v>
      </x:c>
      <x:c r="G260" s="14" t="str">
        <x:v>Owner update or workflow transition</x:v>
      </x:c>
    </x:row>
    <x:row r="261">
      <x:c r="A261" s="14" t="str">
        <x:v>H000260</x:v>
      </x:c>
      <x:c r="B261" s="14" t="str">
        <x:v>P00092</x:v>
      </x:c>
      <x:c r="C261" s="16" t="str">
        <x:v>2026-04-09 05:00:00</x:v>
      </x:c>
      <x:c r="D261" s="14" t="str">
        <x:v>In Progress</x:v>
      </x:c>
      <x:c r="E261" s="14" t="str">
        <x:v>Fulfilled</x:v>
      </x:c>
      <x:c r="F261" s="14" t="str">
        <x:v>E019</x:v>
      </x:c>
      <x:c r="G261" s="14" t="str">
        <x:v>System SLA evaluation or owner completion</x:v>
      </x:c>
    </x:row>
    <x:row r="262">
      <x:c r="A262" s="14" t="str">
        <x:v>H000261</x:v>
      </x:c>
      <x:c r="B262" s="14" t="str">
        <x:v>P00093</x:v>
      </x:c>
      <x:c r="C262" s="16" t="str">
        <x:v>2026-04-20 05:00:00</x:v>
      </x:c>
      <x:c r="D262" s="14"/>
      <x:c r="E262" s="14" t="str">
        <x:v>Open</x:v>
      </x:c>
      <x:c r="F262" s="14" t="str">
        <x:v>E024</x:v>
      </x:c>
      <x:c r="G262" s="14" t="str">
        <x:v>AI-created commitment after policy and confidence checks</x:v>
      </x:c>
    </x:row>
    <x:row r="263">
      <x:c r="A263" s="14" t="str">
        <x:v>H000262</x:v>
      </x:c>
      <x:c r="B263" s="14" t="str">
        <x:v>P00093</x:v>
      </x:c>
      <x:c r="C263" s="16" t="str">
        <x:v>2026-04-21 09:00:00</x:v>
      </x:c>
      <x:c r="D263" s="14" t="str">
        <x:v>Open</x:v>
      </x:c>
      <x:c r="E263" s="14" t="str">
        <x:v>In Progress</x:v>
      </x:c>
      <x:c r="F263" s="14" t="str">
        <x:v>E024</x:v>
      </x:c>
      <x:c r="G263" s="14" t="str">
        <x:v>Owner update or workflow transition</x:v>
      </x:c>
    </x:row>
    <x:row r="264">
      <x:c r="A264" s="14" t="str">
        <x:v>H000263</x:v>
      </x:c>
      <x:c r="B264" s="14" t="str">
        <x:v>P00093</x:v>
      </x:c>
      <x:c r="C264" s="16" t="str">
        <x:v>2026-04-26 03:00:00</x:v>
      </x:c>
      <x:c r="D264" s="14" t="str">
        <x:v>In Progress</x:v>
      </x:c>
      <x:c r="E264" s="14" t="str">
        <x:v>Fulfilled</x:v>
      </x:c>
      <x:c r="F264" s="14" t="str">
        <x:v>E024</x:v>
      </x:c>
      <x:c r="G264" s="14" t="str">
        <x:v>System SLA evaluation or owner completion</x:v>
      </x:c>
    </x:row>
    <x:row r="265">
      <x:c r="A265" s="14" t="str">
        <x:v>H000264</x:v>
      </x:c>
      <x:c r="B265" s="14" t="str">
        <x:v>P00094</x:v>
      </x:c>
      <x:c r="C265" s="16" t="str">
        <x:v>2026-01-12 15:00:00</x:v>
      </x:c>
      <x:c r="D265" s="14"/>
      <x:c r="E265" s="14" t="str">
        <x:v>Open</x:v>
      </x:c>
      <x:c r="F265" s="14" t="str">
        <x:v>E029</x:v>
      </x:c>
      <x:c r="G265" s="14" t="str">
        <x:v>AI-created commitment after policy and confidence checks</x:v>
      </x:c>
    </x:row>
    <x:row r="266">
      <x:c r="A266" s="14" t="str">
        <x:v>H000265</x:v>
      </x:c>
      <x:c r="B266" s="14" t="str">
        <x:v>P00094</x:v>
      </x:c>
      <x:c r="C266" s="16" t="str">
        <x:v>2026-01-13 13:00:00</x:v>
      </x:c>
      <x:c r="D266" s="14" t="str">
        <x:v>Open</x:v>
      </x:c>
      <x:c r="E266" s="14" t="str">
        <x:v>In Progress</x:v>
      </x:c>
      <x:c r="F266" s="14" t="str">
        <x:v>E029</x:v>
      </x:c>
      <x:c r="G266" s="14" t="str">
        <x:v>Owner update or workflow transition</x:v>
      </x:c>
    </x:row>
    <x:row r="267">
      <x:c r="A267" s="14" t="str">
        <x:v>H000266</x:v>
      </x:c>
      <x:c r="B267" s="14" t="str">
        <x:v>P00094</x:v>
      </x:c>
      <x:c r="C267" s="16" t="str">
        <x:v>2026-01-23 14:00:00</x:v>
      </x:c>
      <x:c r="D267" s="14" t="str">
        <x:v>In Progress</x:v>
      </x:c>
      <x:c r="E267" s="14" t="str">
        <x:v>Fulfilled</x:v>
      </x:c>
      <x:c r="F267" s="14" t="str">
        <x:v>E029</x:v>
      </x:c>
      <x:c r="G267" s="14" t="str">
        <x:v>System SLA evaluation or owner completion</x:v>
      </x:c>
    </x:row>
    <x:row r="268">
      <x:c r="A268" s="14" t="str">
        <x:v>H000267</x:v>
      </x:c>
      <x:c r="B268" s="14" t="str">
        <x:v>P00095</x:v>
      </x:c>
      <x:c r="C268" s="16" t="str">
        <x:v>2026-02-03 19:00:00</x:v>
      </x:c>
      <x:c r="D268" s="14"/>
      <x:c r="E268" s="14" t="str">
        <x:v>Open</x:v>
      </x:c>
      <x:c r="F268" s="14" t="str">
        <x:v>E034</x:v>
      </x:c>
      <x:c r="G268" s="14" t="str">
        <x:v>AI-created commitment after policy and confidence checks</x:v>
      </x:c>
    </x:row>
    <x:row r="269">
      <x:c r="A269" s="14" t="str">
        <x:v>H000268</x:v>
      </x:c>
      <x:c r="B269" s="14" t="str">
        <x:v>P00095</x:v>
      </x:c>
      <x:c r="C269" s="16" t="str">
        <x:v>2026-02-04 12:00:00</x:v>
      </x:c>
      <x:c r="D269" s="14" t="str">
        <x:v>Open</x:v>
      </x:c>
      <x:c r="E269" s="14" t="str">
        <x:v>In Progress</x:v>
      </x:c>
      <x:c r="F269" s="14" t="str">
        <x:v>E034</x:v>
      </x:c>
      <x:c r="G269" s="14" t="str">
        <x:v>Owner update or workflow transition</x:v>
      </x:c>
    </x:row>
    <x:row r="270">
      <x:c r="A270" s="14" t="str">
        <x:v>H000269</x:v>
      </x:c>
      <x:c r="B270" s="14" t="str">
        <x:v>P00095</x:v>
      </x:c>
      <x:c r="C270" s="16" t="str">
        <x:v>2026-02-07 01:00:00</x:v>
      </x:c>
      <x:c r="D270" s="14" t="str">
        <x:v>In Progress</x:v>
      </x:c>
      <x:c r="E270" s="14" t="str">
        <x:v>Escalated</x:v>
      </x:c>
      <x:c r="F270" s="14" t="str">
        <x:v>E034</x:v>
      </x:c>
      <x:c r="G270" s="14" t="str">
        <x:v>System SLA evaluation or owner completion</x:v>
      </x:c>
    </x:row>
    <x:row r="271">
      <x:c r="A271" s="14" t="str">
        <x:v>H000270</x:v>
      </x:c>
      <x:c r="B271" s="14" t="str">
        <x:v>P00096</x:v>
      </x:c>
      <x:c r="C271" s="16" t="str">
        <x:v>2026-02-24 18:00:00</x:v>
      </x:c>
      <x:c r="D271" s="14"/>
      <x:c r="E271" s="14" t="str">
        <x:v>Open</x:v>
      </x:c>
      <x:c r="F271" s="14" t="str">
        <x:v>E039</x:v>
      </x:c>
      <x:c r="G271" s="14" t="str">
        <x:v>AI-created commitment after policy and confidence checks</x:v>
      </x:c>
    </x:row>
    <x:row r="272">
      <x:c r="A272" s="14" t="str">
        <x:v>H000271</x:v>
      </x:c>
      <x:c r="B272" s="14" t="str">
        <x:v>P00096</x:v>
      </x:c>
      <x:c r="C272" s="16" t="str">
        <x:v>2026-02-25 00:00:00</x:v>
      </x:c>
      <x:c r="D272" s="14" t="str">
        <x:v>Open</x:v>
      </x:c>
      <x:c r="E272" s="14" t="str">
        <x:v>In Progress</x:v>
      </x:c>
      <x:c r="F272" s="14" t="str">
        <x:v>E039</x:v>
      </x:c>
      <x:c r="G272" s="14" t="str">
        <x:v>Owner update or workflow transition</x:v>
      </x:c>
    </x:row>
    <x:row r="273">
      <x:c r="A273" s="14" t="str">
        <x:v>H000272</x:v>
      </x:c>
      <x:c r="B273" s="14" t="str">
        <x:v>P00096</x:v>
      </x:c>
      <x:c r="C273" s="16" t="str">
        <x:v>2026-03-03 02:00:00</x:v>
      </x:c>
      <x:c r="D273" s="14" t="str">
        <x:v>In Progress</x:v>
      </x:c>
      <x:c r="E273" s="14" t="str">
        <x:v>Fulfilled</x:v>
      </x:c>
      <x:c r="F273" s="14" t="str">
        <x:v>E039</x:v>
      </x:c>
      <x:c r="G273" s="14" t="str">
        <x:v>System SLA evaluation or owner completion</x:v>
      </x:c>
    </x:row>
    <x:row r="274">
      <x:c r="A274" s="14" t="str">
        <x:v>H000273</x:v>
      </x:c>
      <x:c r="B274" s="14" t="str">
        <x:v>P00097</x:v>
      </x:c>
      <x:c r="C274" s="16" t="str">
        <x:v>2026-07-01 09:00:00</x:v>
      </x:c>
      <x:c r="D274" s="14"/>
      <x:c r="E274" s="14" t="str">
        <x:v>Open</x:v>
      </x:c>
      <x:c r="F274" s="14" t="str">
        <x:v>E004</x:v>
      </x:c>
      <x:c r="G274" s="14" t="str">
        <x:v>AI-created commitment after policy and confidence checks</x:v>
      </x:c>
    </x:row>
    <x:row r="275">
      <x:c r="A275" s="14" t="str">
        <x:v>H000274</x:v>
      </x:c>
      <x:c r="B275" s="14" t="str">
        <x:v>P00097</x:v>
      </x:c>
      <x:c r="C275" s="16" t="str">
        <x:v>2026-07-02 14:00:00</x:v>
      </x:c>
      <x:c r="D275" s="14" t="str">
        <x:v>Open</x:v>
      </x:c>
      <x:c r="E275" s="14" t="str">
        <x:v>In Progress</x:v>
      </x:c>
      <x:c r="F275" s="14" t="str">
        <x:v>E004</x:v>
      </x:c>
      <x:c r="G275" s="14" t="str">
        <x:v>Owner update or workflow transition</x:v>
      </x:c>
    </x:row>
    <x:row r="276">
      <x:c r="A276" s="14" t="str">
        <x:v>H000275</x:v>
      </x:c>
      <x:c r="B276" s="14" t="str">
        <x:v>P00098</x:v>
      </x:c>
      <x:c r="C276" s="16" t="str">
        <x:v>2026-07-01 10:00:00</x:v>
      </x:c>
      <x:c r="D276" s="14"/>
      <x:c r="E276" s="14" t="str">
        <x:v>Open</x:v>
      </x:c>
      <x:c r="F276" s="14" t="str">
        <x:v>E009</x:v>
      </x:c>
      <x:c r="G276" s="14" t="str">
        <x:v>AI-created commitment after policy and confidence checks</x:v>
      </x:c>
    </x:row>
    <x:row r="277">
      <x:c r="A277" s="14" t="str">
        <x:v>H000276</x:v>
      </x:c>
      <x:c r="B277" s="14" t="str">
        <x:v>P00099</x:v>
      </x:c>
      <x:c r="C277" s="16" t="str">
        <x:v>2026-07-02 11:00:00</x:v>
      </x:c>
      <x:c r="D277" s="14"/>
      <x:c r="E277" s="14" t="str">
        <x:v>Open</x:v>
      </x:c>
      <x:c r="F277" s="14" t="str">
        <x:v>E014</x:v>
      </x:c>
      <x:c r="G277" s="14" t="str">
        <x:v>AI-created commitment after policy and confidence checks</x:v>
      </x:c>
    </x:row>
    <x:row r="278">
      <x:c r="A278" s="14" t="str">
        <x:v>H000277</x:v>
      </x:c>
      <x:c r="B278" s="14" t="str">
        <x:v>P00100</x:v>
      </x:c>
      <x:c r="C278" s="16" t="str">
        <x:v>2026-07-02 12:00:00</x:v>
      </x:c>
      <x:c r="D278" s="14"/>
      <x:c r="E278" s="14" t="str">
        <x:v>Open</x:v>
      </x:c>
      <x:c r="F278" s="14" t="str">
        <x:v>E019</x:v>
      </x:c>
      <x:c r="G278" s="14" t="str">
        <x:v>AI-created commitment after policy and confidence checks</x:v>
      </x:c>
    </x:row>
    <x:row r="279">
      <x:c r="A279" s="14" t="str">
        <x:v>H000278</x:v>
      </x:c>
      <x:c r="B279" s="14" t="str">
        <x:v>P00100</x:v>
      </x:c>
      <x:c r="C279" s="16" t="str">
        <x:v>2026-07-03 06:00:00</x:v>
      </x:c>
      <x:c r="D279" s="14" t="str">
        <x:v>Open</x:v>
      </x:c>
      <x:c r="E279" s="14" t="str">
        <x:v>In Progress</x:v>
      </x:c>
      <x:c r="F279" s="14" t="str">
        <x:v>E019</x:v>
      </x:c>
      <x:c r="G279" s="14" t="str">
        <x:v>Owner update or workflow transition</x:v>
      </x:c>
    </x:row>
    <x:row r="280">
      <x:c r="A280" s="14" t="str">
        <x:v>H000279</x:v>
      </x:c>
      <x:c r="B280" s="14" t="str">
        <x:v>P00101</x:v>
      </x:c>
      <x:c r="C280" s="16" t="str">
        <x:v>2026-07-03 13:00:00</x:v>
      </x:c>
      <x:c r="D280" s="14"/>
      <x:c r="E280" s="14" t="str">
        <x:v>Open</x:v>
      </x:c>
      <x:c r="F280" s="14" t="str">
        <x:v>E024</x:v>
      </x:c>
      <x:c r="G280" s="14" t="str">
        <x:v>AI-created commitment after policy and confidence checks</x:v>
      </x:c>
    </x:row>
    <x:row r="281">
      <x:c r="A281" s="14" t="str">
        <x:v>H000280</x:v>
      </x:c>
      <x:c r="B281" s="14" t="str">
        <x:v>P00102</x:v>
      </x:c>
      <x:c r="C281" s="16" t="str">
        <x:v>2026-07-03 14:00:00</x:v>
      </x:c>
      <x:c r="D281" s="14"/>
      <x:c r="E281" s="14" t="str">
        <x:v>Open</x:v>
      </x:c>
      <x:c r="F281" s="14" t="str">
        <x:v>E029</x:v>
      </x:c>
      <x:c r="G281" s="14" t="str">
        <x:v>AI-created commitment after policy and confidence checks</x:v>
      </x:c>
    </x:row>
    <x:row r="282">
      <x:c r="A282" s="14" t="str">
        <x:v>H000281</x:v>
      </x:c>
      <x:c r="B282" s="14" t="str">
        <x:v>P00103</x:v>
      </x:c>
      <x:c r="C282" s="16" t="str">
        <x:v>2026-07-04 09:00:00</x:v>
      </x:c>
      <x:c r="D282" s="14"/>
      <x:c r="E282" s="14" t="str">
        <x:v>Open</x:v>
      </x:c>
      <x:c r="F282" s="14" t="str">
        <x:v>E034</x:v>
      </x:c>
      <x:c r="G282" s="14" t="str">
        <x:v>AI-created commitment after policy and confidence checks</x:v>
      </x:c>
    </x:row>
    <x:row r="283">
      <x:c r="A283" s="14" t="str">
        <x:v>H000282</x:v>
      </x:c>
      <x:c r="B283" s="14" t="str">
        <x:v>P00103</x:v>
      </x:c>
      <x:c r="C283" s="16" t="str">
        <x:v>2026-07-05 07:00:00</x:v>
      </x:c>
      <x:c r="D283" s="14" t="str">
        <x:v>Open</x:v>
      </x:c>
      <x:c r="E283" s="14" t="str">
        <x:v>In Progress</x:v>
      </x:c>
      <x:c r="F283" s="14" t="str">
        <x:v>E034</x:v>
      </x:c>
      <x:c r="G283" s="14" t="str">
        <x:v>Owner update or workflow transition</x:v>
      </x:c>
    </x:row>
    <x:row r="284">
      <x:c r="A284" s="14" t="str">
        <x:v>H000283</x:v>
      </x:c>
      <x:c r="B284" s="14" t="str">
        <x:v>P00104</x:v>
      </x:c>
      <x:c r="C284" s="16" t="str">
        <x:v>2026-07-04 10:00:00</x:v>
      </x:c>
      <x:c r="D284" s="14"/>
      <x:c r="E284" s="14" t="str">
        <x:v>Open</x:v>
      </x:c>
      <x:c r="F284" s="14" t="str">
        <x:v>E039</x:v>
      </x:c>
      <x:c r="G284" s="14" t="str">
        <x:v>AI-created commitment after policy and confidence checks</x:v>
      </x:c>
    </x:row>
    <x:row r="285">
      <x:c r="A285" s="14" t="str">
        <x:v>H000284</x:v>
      </x:c>
      <x:c r="B285" s="14" t="str">
        <x:v>P00105</x:v>
      </x:c>
      <x:c r="C285" s="16" t="str">
        <x:v>2026-07-05 11:00:00</x:v>
      </x:c>
      <x:c r="D285" s="14"/>
      <x:c r="E285" s="14" t="str">
        <x:v>Open</x:v>
      </x:c>
      <x:c r="F285" s="14" t="str">
        <x:v>E004</x:v>
      </x:c>
      <x:c r="G285" s="14" t="str">
        <x:v>AI-created commitment after policy and confidence checks</x:v>
      </x:c>
    </x:row>
    <x:row r="286">
      <x:c r="A286" s="14" t="str">
        <x:v>H000285</x:v>
      </x:c>
      <x:c r="B286" s="14" t="str">
        <x:v>P00106</x:v>
      </x:c>
      <x:c r="C286" s="16" t="str">
        <x:v>2026-07-05 12:00:00</x:v>
      </x:c>
      <x:c r="D286" s="14"/>
      <x:c r="E286" s="14" t="str">
        <x:v>Open</x:v>
      </x:c>
      <x:c r="F286" s="14" t="str">
        <x:v>E009</x:v>
      </x:c>
      <x:c r="G286" s="14" t="str">
        <x:v>AI-created commitment after policy and confidence checks</x:v>
      </x:c>
    </x:row>
    <x:row r="287">
      <x:c r="A287" s="14" t="str">
        <x:v>H000286</x:v>
      </x:c>
      <x:c r="B287" s="14" t="str">
        <x:v>P00106</x:v>
      </x:c>
      <x:c r="C287" s="16" t="str">
        <x:v>2026-07-06 08:00:00</x:v>
      </x:c>
      <x:c r="D287" s="14" t="str">
        <x:v>Open</x:v>
      </x:c>
      <x:c r="E287" s="14" t="str">
        <x:v>In Progress</x:v>
      </x:c>
      <x:c r="F287" s="14" t="str">
        <x:v>E009</x:v>
      </x:c>
      <x:c r="G287" s="14" t="str">
        <x:v>Owner update or workflow transition</x:v>
      </x:c>
    </x:row>
    <x:row r="288">
      <x:c r="A288" s="14" t="str">
        <x:v>H000287</x:v>
      </x:c>
      <x:c r="B288" s="14" t="str">
        <x:v>P00107</x:v>
      </x:c>
      <x:c r="C288" s="16" t="str">
        <x:v>2026-07-06 13:00:00</x:v>
      </x:c>
      <x:c r="D288" s="14"/>
      <x:c r="E288" s="14" t="str">
        <x:v>Open</x:v>
      </x:c>
      <x:c r="F288" s="14" t="str">
        <x:v>E014</x:v>
      </x:c>
      <x:c r="G288" s="14" t="str">
        <x:v>AI-created commitment after policy and confidence checks</x:v>
      </x:c>
    </x:row>
    <x:row r="289">
      <x:c r="A289" s="14" t="str">
        <x:v>H000288</x:v>
      </x:c>
      <x:c r="B289" s="14" t="str">
        <x:v>P00108</x:v>
      </x:c>
      <x:c r="C289" s="16" t="str">
        <x:v>2026-07-06 14:00:00</x:v>
      </x:c>
      <x:c r="D289" s="14"/>
      <x:c r="E289" s="14" t="str">
        <x:v>Open</x:v>
      </x:c>
      <x:c r="F289" s="14" t="str">
        <x:v>E019</x:v>
      </x:c>
      <x:c r="G289" s="14" t="str">
        <x:v>AI-created commitment after policy and confidence checks</x:v>
      </x:c>
    </x:row>
    <x:row r="290">
      <x:c r="A290" s="14" t="str">
        <x:v>H000289</x:v>
      </x:c>
      <x:c r="B290" s="14" t="str">
        <x:v>P00109</x:v>
      </x:c>
      <x:c r="C290" s="16" t="str">
        <x:v>2026-07-07 09:00:00</x:v>
      </x:c>
      <x:c r="D290" s="14"/>
      <x:c r="E290" s="14" t="str">
        <x:v>Open</x:v>
      </x:c>
      <x:c r="F290" s="14" t="str">
        <x:v>E024</x:v>
      </x:c>
      <x:c r="G290" s="14" t="str">
        <x:v>AI-created commitment after policy and confidence checks</x:v>
      </x:c>
    </x:row>
    <x:row r="291">
      <x:c r="A291" s="14" t="str">
        <x:v>H000290</x:v>
      </x:c>
      <x:c r="B291" s="14" t="str">
        <x:v>P00109</x:v>
      </x:c>
      <x:c r="C291" s="16" t="str">
        <x:v>2026-07-07 12:00:00</x:v>
      </x:c>
      <x:c r="D291" s="14" t="str">
        <x:v>Open</x:v>
      </x:c>
      <x:c r="E291" s="14" t="str">
        <x:v>In Progress</x:v>
      </x:c>
      <x:c r="F291" s="14" t="str">
        <x:v>E024</x:v>
      </x:c>
      <x:c r="G291" s="14" t="str">
        <x:v>Owner update or workflow transition</x:v>
      </x:c>
    </x:row>
    <x:row r="292">
      <x:c r="A292" s="14" t="str">
        <x:v>H000291</x:v>
      </x:c>
      <x:c r="B292" s="14" t="str">
        <x:v>P00110</x:v>
      </x:c>
      <x:c r="C292" s="16" t="str">
        <x:v>2026-07-07 10:00:00</x:v>
      </x:c>
      <x:c r="D292" s="14"/>
      <x:c r="E292" s="14" t="str">
        <x:v>Open</x:v>
      </x:c>
      <x:c r="F292" s="14" t="str">
        <x:v>E029</x:v>
      </x:c>
      <x:c r="G292" s="14" t="str">
        <x:v>AI-created commitment after policy and confidence checks</x:v>
      </x:c>
    </x:row>
    <x:row r="293">
      <x:c r="A293" s="14" t="str">
        <x:v>H000292</x:v>
      </x:c>
      <x:c r="B293" s="14" t="str">
        <x:v>P00111</x:v>
      </x:c>
      <x:c r="C293" s="16" t="str">
        <x:v>2026-07-08 11:00:00</x:v>
      </x:c>
      <x:c r="D293" s="14"/>
      <x:c r="E293" s="14" t="str">
        <x:v>Open</x:v>
      </x:c>
      <x:c r="F293" s="14" t="str">
        <x:v>E034</x:v>
      </x:c>
      <x:c r="G293" s="14" t="str">
        <x:v>AI-created commitment after policy and confidence checks</x:v>
      </x:c>
    </x:row>
    <x:row r="294">
      <x:c r="A294" s="14" t="str">
        <x:v>H000293</x:v>
      </x:c>
      <x:c r="B294" s="14" t="str">
        <x:v>P00112</x:v>
      </x:c>
      <x:c r="C294" s="16" t="str">
        <x:v>2026-07-08 12:00:00</x:v>
      </x:c>
      <x:c r="D294" s="14"/>
      <x:c r="E294" s="14" t="str">
        <x:v>Open</x:v>
      </x:c>
      <x:c r="F294" s="14" t="str">
        <x:v>E039</x:v>
      </x:c>
      <x:c r="G294" s="14" t="str">
        <x:v>AI-created commitment after policy and confidence checks</x:v>
      </x:c>
    </x:row>
    <x:row r="295">
      <x:c r="A295" s="14" t="str">
        <x:v>H000294</x:v>
      </x:c>
      <x:c r="B295" s="14" t="str">
        <x:v>P00112</x:v>
      </x:c>
      <x:c r="C295" s="16" t="str">
        <x:v>2026-07-09 11:00:00</x:v>
      </x:c>
      <x:c r="D295" s="14" t="str">
        <x:v>Open</x:v>
      </x:c>
      <x:c r="E295" s="14" t="str">
        <x:v>In Progress</x:v>
      </x:c>
      <x:c r="F295" s="14" t="str">
        <x:v>E039</x:v>
      </x:c>
      <x:c r="G295" s="14" t="str">
        <x:v>Owner update or workflow transition</x:v>
      </x:c>
    </x:row>
    <x:row r="296">
      <x:c r="A296" s="14" t="str">
        <x:v>H000295</x:v>
      </x:c>
      <x:c r="B296" s="14" t="str">
        <x:v>P00113</x:v>
      </x:c>
      <x:c r="C296" s="16" t="str">
        <x:v>2026-07-09 13:00:00</x:v>
      </x:c>
      <x:c r="D296" s="14"/>
      <x:c r="E296" s="14" t="str">
        <x:v>Open</x:v>
      </x:c>
      <x:c r="F296" s="14" t="str">
        <x:v>E004</x:v>
      </x:c>
      <x:c r="G296" s="14" t="str">
        <x:v>AI-created commitment after policy and confidence checks</x:v>
      </x:c>
    </x:row>
    <x:row r="297">
      <x:c r="A297" s="14" t="str">
        <x:v>H000296</x:v>
      </x:c>
      <x:c r="B297" s="14" t="str">
        <x:v>P00114</x:v>
      </x:c>
      <x:c r="C297" s="16" t="str">
        <x:v>2026-07-09 14:00:00</x:v>
      </x:c>
      <x:c r="D297" s="14"/>
      <x:c r="E297" s="14" t="str">
        <x:v>Open</x:v>
      </x:c>
      <x:c r="F297" s="14" t="str">
        <x:v>E009</x:v>
      </x:c>
      <x:c r="G297" s="14" t="str">
        <x:v>AI-created commitment after policy and confidence checks</x:v>
      </x:c>
    </x:row>
    <x:row r="298">
      <x:c r="A298" s="14" t="str">
        <x:v>H000297</x:v>
      </x:c>
      <x:c r="B298" s="14" t="str">
        <x:v>P00115</x:v>
      </x:c>
      <x:c r="C298" s="16" t="str">
        <x:v>2026-07-10 09:00:00</x:v>
      </x:c>
      <x:c r="D298" s="14"/>
      <x:c r="E298" s="14" t="str">
        <x:v>Open</x:v>
      </x:c>
      <x:c r="F298" s="14" t="str">
        <x:v>E014</x:v>
      </x:c>
      <x:c r="G298" s="14" t="str">
        <x:v>AI-created commitment after policy and confidence checks</x:v>
      </x:c>
    </x:row>
    <x:row r="299">
      <x:c r="A299" s="14" t="str">
        <x:v>H000298</x:v>
      </x:c>
      <x:c r="B299" s="14" t="str">
        <x:v>P00115</x:v>
      </x:c>
      <x:c r="C299" s="16" t="str">
        <x:v>2026-07-11 04:00:00</x:v>
      </x:c>
      <x:c r="D299" s="14" t="str">
        <x:v>Open</x:v>
      </x:c>
      <x:c r="E299" s="14" t="str">
        <x:v>In Progress</x:v>
      </x:c>
      <x:c r="F299" s="14" t="str">
        <x:v>E014</x:v>
      </x:c>
      <x:c r="G299" s="14" t="str">
        <x:v>Owner update or workflow transition</x:v>
      </x:c>
    </x:row>
    <x:row r="300">
      <x:c r="A300" s="14" t="str">
        <x:v>H000299</x:v>
      </x:c>
      <x:c r="B300" s="14" t="str">
        <x:v>P00116</x:v>
      </x:c>
      <x:c r="C300" s="16" t="str">
        <x:v>2026-07-10 10:00:00</x:v>
      </x:c>
      <x:c r="D300" s="14"/>
      <x:c r="E300" s="14" t="str">
        <x:v>Open</x:v>
      </x:c>
      <x:c r="F300" s="14" t="str">
        <x:v>E019</x:v>
      </x:c>
      <x:c r="G300" s="14" t="str">
        <x:v>AI-created commitment after policy and confidence checks</x:v>
      </x:c>
    </x:row>
    <x:row r="301">
      <x:c r="A301" s="14" t="str">
        <x:v>H000300</x:v>
      </x:c>
      <x:c r="B301" s="14" t="str">
        <x:v>P00117</x:v>
      </x:c>
      <x:c r="C301" s="16" t="str">
        <x:v>2026-07-11 11:00:00</x:v>
      </x:c>
      <x:c r="D301" s="14"/>
      <x:c r="E301" s="14" t="str">
        <x:v>Open</x:v>
      </x:c>
      <x:c r="F301" s="14" t="str">
        <x:v>E024</x:v>
      </x:c>
      <x:c r="G301" s="14" t="str">
        <x:v>AI-created commitment after policy and confidence checks</x:v>
      </x:c>
    </x:row>
    <x:row r="302">
      <x:c r="A302" s="14" t="str">
        <x:v>H000301</x:v>
      </x:c>
      <x:c r="B302" s="14" t="str">
        <x:v>P00118</x:v>
      </x:c>
      <x:c r="C302" s="16" t="str">
        <x:v>2026-07-11 12:00:00</x:v>
      </x:c>
      <x:c r="D302" s="14"/>
      <x:c r="E302" s="14" t="str">
        <x:v>Open</x:v>
      </x:c>
      <x:c r="F302" s="14" t="str">
        <x:v>E029</x:v>
      </x:c>
      <x:c r="G302" s="14" t="str">
        <x:v>AI-created commitment after policy and confidence checks</x:v>
      </x:c>
    </x:row>
    <x:row r="303">
      <x:c r="A303" s="14" t="str">
        <x:v>H000302</x:v>
      </x:c>
      <x:c r="B303" s="14" t="str">
        <x:v>P00118</x:v>
      </x:c>
      <x:c r="C303" s="16" t="str">
        <x:v>2026-07-12 09:00:00</x:v>
      </x:c>
      <x:c r="D303" s="14" t="str">
        <x:v>Open</x:v>
      </x:c>
      <x:c r="E303" s="14" t="str">
        <x:v>In Progress</x:v>
      </x:c>
      <x:c r="F303" s="14" t="str">
        <x:v>E029</x:v>
      </x:c>
      <x:c r="G303" s="14" t="str">
        <x:v>Owner update or workflow transition</x:v>
      </x:c>
    </x:row>
    <x:row r="304">
      <x:c r="A304" s="14" t="str">
        <x:v>H000303</x:v>
      </x:c>
      <x:c r="B304" s="14" t="str">
        <x:v>P00119</x:v>
      </x:c>
      <x:c r="C304" s="16" t="str">
        <x:v>2026-07-12 13:00:00</x:v>
      </x:c>
      <x:c r="D304" s="14"/>
      <x:c r="E304" s="14" t="str">
        <x:v>Open</x:v>
      </x:c>
      <x:c r="F304" s="14" t="str">
        <x:v>E034</x:v>
      </x:c>
      <x:c r="G304" s="14" t="str">
        <x:v>AI-created commitment after policy and confidence checks</x:v>
      </x:c>
    </x:row>
    <x:row r="305">
      <x:c r="A305" s="14" t="str">
        <x:v>H000304</x:v>
      </x:c>
      <x:c r="B305" s="14" t="str">
        <x:v>P00120</x:v>
      </x:c>
      <x:c r="C305" s="16" t="str">
        <x:v>2026-07-12 14:00:00</x:v>
      </x:c>
      <x:c r="D305" s="14"/>
      <x:c r="E305" s="14" t="str">
        <x:v>Open</x:v>
      </x:c>
      <x:c r="F305" s="14" t="str">
        <x:v>E039</x:v>
      </x:c>
      <x:c r="G305" s="14" t="str">
        <x:v>AI-created commitment after policy and confidence checks</x:v>
      </x:c>
    </x:row>
  </x:sheetData>
  <x:pageMargins left="0.7" right="0.7" top="0.75" bottom="0.75" header="0.3" footer="0.3"/>
  <x:tableParts count="1">
    <x:tablePart xmlns:r="http://schemas.openxmlformats.org/officeDocument/2006/relationships" r:id="R76ff9002a2504a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</x:cols>
  <x:sheetData>
    <x:row r="1" ht="28" customHeight="1">
      <x:c r="A1" s="6" t="str">
        <x:v>notification_id</x:v>
      </x:c>
      <x:c r="B1" s="6" t="str">
        <x:v>promise_id</x:v>
      </x:c>
      <x:c r="C1" s="6" t="str">
        <x:v>recipient_employee_id</x:v>
      </x:c>
      <x:c r="D1" s="6" t="str">
        <x:v>notification_type</x:v>
      </x:c>
      <x:c r="E1" s="6" t="str">
        <x:v>channel</x:v>
      </x:c>
      <x:c r="F1" s="6" t="str">
        <x:v>scheduled_ts</x:v>
      </x:c>
      <x:c r="G1" s="6" t="str">
        <x:v>sent_ts</x:v>
      </x:c>
      <x:c r="H1" s="6" t="str">
        <x:v>delivery_status</x:v>
      </x:c>
      <x:c r="I1" s="6" t="str">
        <x:v>action_taken</x:v>
      </x:c>
    </x:row>
    <x:row r="2">
      <x:c r="A2" s="14" t="str">
        <x:v>N00001</x:v>
      </x:c>
      <x:c r="B2" s="14" t="str">
        <x:v>P00001</x:v>
      </x:c>
      <x:c r="C2" s="14" t="str">
        <x:v>E004</x:v>
      </x:c>
      <x:c r="D2" s="14" t="str">
        <x:v>Reminder</x:v>
      </x:c>
      <x:c r="E2" s="14" t="str">
        <x:v>Slack</x:v>
      </x:c>
      <x:c r="F2" s="16" t="str">
        <x:v>2026-01-07 08:00:00</x:v>
      </x:c>
      <x:c r="G2" s="16" t="str">
        <x:v>2026-01-07 08:17:00</x:v>
      </x:c>
      <x:c r="H2" s="14" t="str">
        <x:v>Read</x:v>
      </x:c>
      <x:c r="I2" s="14" t="str">
        <x:v>Opened Promise</x:v>
      </x:c>
    </x:row>
    <x:row r="3">
      <x:c r="A3" s="14" t="str">
        <x:v>N00002</x:v>
      </x:c>
      <x:c r="B3" s="14" t="str">
        <x:v>P00008</x:v>
      </x:c>
      <x:c r="C3" s="14" t="str">
        <x:v>E039</x:v>
      </x:c>
      <x:c r="D3" s="14" t="str">
        <x:v>Due Soon</x:v>
      </x:c>
      <x:c r="E3" s="14" t="str">
        <x:v>Email</x:v>
      </x:c>
      <x:c r="F3" s="16" t="str">
        <x:v>2026-02-17 10:00:00</x:v>
      </x:c>
      <x:c r="G3" s="16" t="str">
        <x:v>2026-02-17 10:12:00</x:v>
      </x:c>
      <x:c r="H3" s="14" t="str">
        <x:v>Delivered</x:v>
      </x:c>
      <x:c r="I3" s="14" t="str">
        <x:v>Marked Complete</x:v>
      </x:c>
    </x:row>
    <x:row r="4">
      <x:c r="A4" s="14" t="str">
        <x:v>N00003</x:v>
      </x:c>
      <x:c r="B4" s="14" t="str">
        <x:v>P00015</x:v>
      </x:c>
      <x:c r="C4" s="14" t="str">
        <x:v>E034</x:v>
      </x:c>
      <x:c r="D4" s="14" t="str">
        <x:v>Overdue</x:v>
      </x:c>
      <x:c r="E4" s="14" t="str">
        <x:v>Teams</x:v>
      </x:c>
      <x:c r="F4" s="16" t="str">
        <x:v>2026-03-18 01:00:00</x:v>
      </x:c>
      <x:c r="G4" s="16" t="str">
        <x:v>2026-03-18 01:02:00</x:v>
      </x:c>
      <x:c r="H4" s="14" t="str">
        <x:v>Read</x:v>
      </x:c>
      <x:c r="I4" s="14" t="str">
        <x:v>Opened Promise</x:v>
      </x:c>
    </x:row>
    <x:row r="5">
      <x:c r="A5" s="14" t="str">
        <x:v>N00004</x:v>
      </x:c>
      <x:c r="B5" s="14" t="str">
        <x:v>P00022</x:v>
      </x:c>
      <x:c r="C5" s="14" t="str">
        <x:v>E029</x:v>
      </x:c>
      <x:c r="D5" s="14" t="str">
        <x:v>Escalation</x:v>
      </x:c>
      <x:c r="E5" s="14" t="str">
        <x:v>In-App</x:v>
      </x:c>
      <x:c r="F5" s="16" t="str">
        <x:v>2026-04-19 12:00:00</x:v>
      </x:c>
      <x:c r="G5" s="16" t="str">
        <x:v>2026-04-19 12:01:00</x:v>
      </x:c>
      <x:c r="H5" s="14" t="str">
        <x:v>Read</x:v>
      </x:c>
      <x:c r="I5" s="14" t="str">
        <x:v>None</x:v>
      </x:c>
    </x:row>
    <x:row r="6">
      <x:c r="A6" s="14" t="str">
        <x:v>N00005</x:v>
      </x:c>
      <x:c r="B6" s="14" t="str">
        <x:v>P00029</x:v>
      </x:c>
      <x:c r="C6" s="14" t="str">
        <x:v>E024</x:v>
      </x:c>
      <x:c r="D6" s="14" t="str">
        <x:v>Reminder</x:v>
      </x:c>
      <x:c r="E6" s="14" t="str">
        <x:v>Slack</x:v>
      </x:c>
      <x:c r="F6" s="16" t="str">
        <x:v>2026-01-25 18:00:00</x:v>
      </x:c>
      <x:c r="G6" s="16" t="str">
        <x:v>2026-01-25 18:18:00</x:v>
      </x:c>
      <x:c r="H6" s="14" t="str">
        <x:v>Delivered</x:v>
      </x:c>
      <x:c r="I6" s="14" t="str">
        <x:v>Marked Complete</x:v>
      </x:c>
    </x:row>
    <x:row r="7">
      <x:c r="A7" s="14" t="str">
        <x:v>N00006</x:v>
      </x:c>
      <x:c r="B7" s="14" t="str">
        <x:v>P00036</x:v>
      </x:c>
      <x:c r="C7" s="14" t="str">
        <x:v>E019</x:v>
      </x:c>
      <x:c r="D7" s="14" t="str">
        <x:v>Due Soon</x:v>
      </x:c>
      <x:c r="E7" s="14" t="str">
        <x:v>Email</x:v>
      </x:c>
      <x:c r="F7" s="16" t="str">
        <x:v>2026-02-25 19:00:00</x:v>
      </x:c>
      <x:c r="G7" s="16" t="str">
        <x:v>2026-02-25 19:18:00</x:v>
      </x:c>
      <x:c r="H7" s="14" t="str">
        <x:v>Delivered</x:v>
      </x:c>
      <x:c r="I7" s="14" t="str">
        <x:v>Marked Complete</x:v>
      </x:c>
    </x:row>
    <x:row r="8">
      <x:c r="A8" s="14" t="str">
        <x:v>N00007</x:v>
      </x:c>
      <x:c r="B8" s="14" t="str">
        <x:v>P00043</x:v>
      </x:c>
      <x:c r="C8" s="14" t="str">
        <x:v>E014</x:v>
      </x:c>
      <x:c r="D8" s="14" t="str">
        <x:v>Overdue</x:v>
      </x:c>
      <x:c r="E8" s="14" t="str">
        <x:v>Teams</x:v>
      </x:c>
      <x:c r="F8" s="16" t="str">
        <x:v>2026-04-03 19:00:00</x:v>
      </x:c>
      <x:c r="G8" s="16" t="str">
        <x:v>2026-04-03 19:04:00</x:v>
      </x:c>
      <x:c r="H8" s="14" t="str">
        <x:v>Read</x:v>
      </x:c>
      <x:c r="I8" s="14" t="str">
        <x:v>Opened Promise</x:v>
      </x:c>
    </x:row>
    <x:row r="9">
      <x:c r="A9" s="14" t="str">
        <x:v>N00008</x:v>
      </x:c>
      <x:c r="B9" s="14" t="str">
        <x:v>P00050</x:v>
      </x:c>
      <x:c r="C9" s="14" t="str">
        <x:v>E009</x:v>
      </x:c>
      <x:c r="D9" s="14" t="str">
        <x:v>Escalation</x:v>
      </x:c>
      <x:c r="E9" s="14" t="str">
        <x:v>In-App</x:v>
      </x:c>
      <x:c r="F9" s="16" t="str">
        <x:v>2026-05-07 19:00:00</x:v>
      </x:c>
      <x:c r="G9" s="16" t="str">
        <x:v>2026-05-07 19:04:00</x:v>
      </x:c>
      <x:c r="H9" s="14" t="str">
        <x:v>Failed</x:v>
      </x:c>
      <x:c r="I9" s="14" t="str">
        <x:v>Opened Promise</x:v>
      </x:c>
    </x:row>
    <x:row r="10">
      <x:c r="A10" s="14" t="str">
        <x:v>N00009</x:v>
      </x:c>
      <x:c r="B10" s="14" t="str">
        <x:v>P00057</x:v>
      </x:c>
      <x:c r="C10" s="14" t="str">
        <x:v>E004</x:v>
      </x:c>
      <x:c r="D10" s="14" t="str">
        <x:v>Reminder</x:v>
      </x:c>
      <x:c r="E10" s="14" t="str">
        <x:v>Slack</x:v>
      </x:c>
      <x:c r="F10" s="16" t="str">
        <x:v>2026-02-08 06:00:00</x:v>
      </x:c>
      <x:c r="G10" s="16" t="str">
        <x:v>2026-02-08 06:03:00</x:v>
      </x:c>
      <x:c r="H10" s="14" t="str">
        <x:v>Read</x:v>
      </x:c>
      <x:c r="I10" s="14" t="str">
        <x:v>None</x:v>
      </x:c>
    </x:row>
    <x:row r="11">
      <x:c r="A11" s="14" t="str">
        <x:v>N00010</x:v>
      </x:c>
      <x:c r="B11" s="14" t="str">
        <x:v>P00064</x:v>
      </x:c>
      <x:c r="C11" s="14" t="str">
        <x:v>E039</x:v>
      </x:c>
      <x:c r="D11" s="14" t="str">
        <x:v>Due Soon</x:v>
      </x:c>
      <x:c r="E11" s="14" t="str">
        <x:v>Email</x:v>
      </x:c>
      <x:c r="F11" s="16" t="str">
        <x:v>2026-03-13 17:00:00</x:v>
      </x:c>
      <x:c r="G11" s="16" t="str">
        <x:v>2026-03-13 17:11:00</x:v>
      </x:c>
      <x:c r="H11" s="14" t="str">
        <x:v>Read</x:v>
      </x:c>
      <x:c r="I11" s="14" t="str">
        <x:v>None</x:v>
      </x:c>
    </x:row>
    <x:row r="12">
      <x:c r="A12" s="14" t="str">
        <x:v>N00011</x:v>
      </x:c>
      <x:c r="B12" s="14" t="str">
        <x:v>P00071</x:v>
      </x:c>
      <x:c r="C12" s="14" t="str">
        <x:v>E034</x:v>
      </x:c>
      <x:c r="D12" s="14" t="str">
        <x:v>Overdue</x:v>
      </x:c>
      <x:c r="E12" s="14" t="str">
        <x:v>Teams</x:v>
      </x:c>
      <x:c r="F12" s="16" t="str">
        <x:v>2026-04-17 05:00:00</x:v>
      </x:c>
      <x:c r="G12" s="16" t="str">
        <x:v>2026-04-17 05:00:00</x:v>
      </x:c>
      <x:c r="H12" s="14" t="str">
        <x:v>Delivered</x:v>
      </x:c>
      <x:c r="I12" s="14" t="str">
        <x:v>None</x:v>
      </x:c>
    </x:row>
    <x:row r="13">
      <x:c r="A13" s="14" t="str">
        <x:v>N00012</x:v>
      </x:c>
      <x:c r="B13" s="14" t="str">
        <x:v>P00078</x:v>
      </x:c>
      <x:c r="C13" s="14" t="str">
        <x:v>E029</x:v>
      </x:c>
      <x:c r="D13" s="14" t="str">
        <x:v>Escalation</x:v>
      </x:c>
      <x:c r="E13" s="14" t="str">
        <x:v>In-App</x:v>
      </x:c>
      <x:c r="F13" s="16" t="str">
        <x:v>2026-01-20 18:00:00</x:v>
      </x:c>
      <x:c r="G13" s="16" t="str">
        <x:v>2026-01-20 18:16:00</x:v>
      </x:c>
      <x:c r="H13" s="14" t="str">
        <x:v>Delivered</x:v>
      </x:c>
      <x:c r="I13" s="14" t="str">
        <x:v>None</x:v>
      </x:c>
    </x:row>
    <x:row r="14">
      <x:c r="A14" s="14" t="str">
        <x:v>N00013</x:v>
      </x:c>
      <x:c r="B14" s="14" t="str">
        <x:v>P00085</x:v>
      </x:c>
      <x:c r="C14" s="14" t="str">
        <x:v>E024</x:v>
      </x:c>
      <x:c r="D14" s="14" t="str">
        <x:v>Reminder</x:v>
      </x:c>
      <x:c r="E14" s="14" t="str">
        <x:v>Slack</x:v>
      </x:c>
      <x:c r="F14" s="16" t="str">
        <x:v>2026-03-05 19:00:00</x:v>
      </x:c>
      <x:c r="G14" s="16" t="str">
        <x:v>2026-03-05 19:11:00</x:v>
      </x:c>
      <x:c r="H14" s="14" t="str">
        <x:v>Read</x:v>
      </x:c>
      <x:c r="I14" s="14" t="str">
        <x:v>None</x:v>
      </x:c>
    </x:row>
    <x:row r="15">
      <x:c r="A15" s="14" t="str">
        <x:v>N00014</x:v>
      </x:c>
      <x:c r="B15" s="14" t="str">
        <x:v>P00092</x:v>
      </x:c>
      <x:c r="C15" s="14" t="str">
        <x:v>E019</x:v>
      </x:c>
      <x:c r="D15" s="14" t="str">
        <x:v>Due Soon</x:v>
      </x:c>
      <x:c r="E15" s="14" t="str">
        <x:v>Email</x:v>
      </x:c>
      <x:c r="F15" s="16" t="str">
        <x:v>2026-04-06 23:00:00</x:v>
      </x:c>
      <x:c r="G15" s="16" t="str">
        <x:v>2026-04-06 23:19:00</x:v>
      </x:c>
      <x:c r="H15" s="14" t="str">
        <x:v>Delivered</x:v>
      </x:c>
      <x:c r="I15" s="14" t="str">
        <x:v>Updated Due Date</x:v>
      </x:c>
    </x:row>
    <x:row r="16">
      <x:c r="A16" s="14" t="str">
        <x:v>N00015</x:v>
      </x:c>
      <x:c r="B16" s="14" t="str">
        <x:v>P00099</x:v>
      </x:c>
      <x:c r="C16" s="14" t="str">
        <x:v>E014</x:v>
      </x:c>
      <x:c r="D16" s="14" t="str">
        <x:v>Overdue</x:v>
      </x:c>
      <x:c r="E16" s="14" t="str">
        <x:v>Teams</x:v>
      </x:c>
      <x:c r="F16" s="16" t="str">
        <x:v>2026-05-06 14:00:00</x:v>
      </x:c>
      <x:c r="G16" s="16" t="str">
        <x:v>2026-05-06 14:14:00</x:v>
      </x:c>
      <x:c r="H16" s="14" t="str">
        <x:v>Read</x:v>
      </x:c>
      <x:c r="I16" s="14" t="str">
        <x:v>None</x:v>
      </x:c>
    </x:row>
    <x:row r="17">
      <x:c r="A17" s="14" t="str">
        <x:v>N00016</x:v>
      </x:c>
      <x:c r="B17" s="14" t="str">
        <x:v>P00106</x:v>
      </x:c>
      <x:c r="C17" s="14" t="str">
        <x:v>E009</x:v>
      </x:c>
      <x:c r="D17" s="14" t="str">
        <x:v>Escalation</x:v>
      </x:c>
      <x:c r="E17" s="14" t="str">
        <x:v>In-App</x:v>
      </x:c>
      <x:c r="F17" s="16" t="str">
        <x:v>2026-02-15 04:00:00</x:v>
      </x:c>
      <x:c r="G17" s="16" t="str">
        <x:v>2026-02-15 04:12:00</x:v>
      </x:c>
      <x:c r="H17" s="14" t="str">
        <x:v>Delivered</x:v>
      </x:c>
      <x:c r="I17" s="14" t="str">
        <x:v>None</x:v>
      </x:c>
    </x:row>
    <x:row r="18">
      <x:c r="A18" s="14" t="str">
        <x:v>N00017</x:v>
      </x:c>
      <x:c r="B18" s="14" t="str">
        <x:v>P00113</x:v>
      </x:c>
      <x:c r="C18" s="14" t="str">
        <x:v>E004</x:v>
      </x:c>
      <x:c r="D18" s="14" t="str">
        <x:v>Reminder</x:v>
      </x:c>
      <x:c r="E18" s="14" t="str">
        <x:v>Slack</x:v>
      </x:c>
      <x:c r="F18" s="16" t="str">
        <x:v>2026-03-17 04:00:00</x:v>
      </x:c>
      <x:c r="G18" s="16" t="str">
        <x:v>2026-03-17 04:02:00</x:v>
      </x:c>
      <x:c r="H18" s="14" t="str">
        <x:v>Read</x:v>
      </x:c>
      <x:c r="I18" s="14" t="str">
        <x:v>None</x:v>
      </x:c>
    </x:row>
    <x:row r="19">
      <x:c r="A19" s="14" t="str">
        <x:v>N00018</x:v>
      </x:c>
      <x:c r="B19" s="14" t="str">
        <x:v>P00120</x:v>
      </x:c>
      <x:c r="C19" s="14" t="str">
        <x:v>E039</x:v>
      </x:c>
      <x:c r="D19" s="14" t="str">
        <x:v>Due Soon</x:v>
      </x:c>
      <x:c r="E19" s="14" t="str">
        <x:v>Email</x:v>
      </x:c>
      <x:c r="F19" s="16" t="str">
        <x:v>2026-04-16 01:00:00</x:v>
      </x:c>
      <x:c r="G19" s="16" t="str">
        <x:v>2026-04-16 01:02:00</x:v>
      </x:c>
      <x:c r="H19" s="14" t="str">
        <x:v>Delivered</x:v>
      </x:c>
      <x:c r="I19" s="14" t="str">
        <x:v>Opened Promise</x:v>
      </x:c>
    </x:row>
    <x:row r="20">
      <x:c r="A20" s="14" t="str">
        <x:v>N00019</x:v>
      </x:c>
      <x:c r="B20" s="14" t="str">
        <x:v>P00007</x:v>
      </x:c>
      <x:c r="C20" s="14" t="str">
        <x:v>E034</x:v>
      </x:c>
      <x:c r="D20" s="14" t="str">
        <x:v>Overdue</x:v>
      </x:c>
      <x:c r="E20" s="14" t="str">
        <x:v>Teams</x:v>
      </x:c>
      <x:c r="F20" s="16" t="str">
        <x:v>2026-01-23 01:00:00</x:v>
      </x:c>
      <x:c r="G20" s="16" t="str">
        <x:v>2026-01-23 01:12:00</x:v>
      </x:c>
      <x:c r="H20" s="14" t="str">
        <x:v>Failed</x:v>
      </x:c>
      <x:c r="I20" s="14" t="str">
        <x:v>Opened Promise</x:v>
      </x:c>
    </x:row>
    <x:row r="21">
      <x:c r="A21" s="14" t="str">
        <x:v>N00020</x:v>
      </x:c>
      <x:c r="B21" s="14" t="str">
        <x:v>P00014</x:v>
      </x:c>
      <x:c r="C21" s="14" t="str">
        <x:v>E029</x:v>
      </x:c>
      <x:c r="D21" s="14" t="str">
        <x:v>Escalation</x:v>
      </x:c>
      <x:c r="E21" s="14" t="str">
        <x:v>In-App</x:v>
      </x:c>
      <x:c r="F21" s="16" t="str">
        <x:v>2026-02-28 23:00:00</x:v>
      </x:c>
      <x:c r="G21" s="16" t="str">
        <x:v>2026-02-28 23:16:00</x:v>
      </x:c>
      <x:c r="H21" s="14" t="str">
        <x:v>Read</x:v>
      </x:c>
      <x:c r="I21" s="14" t="str">
        <x:v>None</x:v>
      </x:c>
    </x:row>
    <x:row r="22">
      <x:c r="A22" s="14" t="str">
        <x:v>N00021</x:v>
      </x:c>
      <x:c r="B22" s="14" t="str">
        <x:v>P00021</x:v>
      </x:c>
      <x:c r="C22" s="14" t="str">
        <x:v>E024</x:v>
      </x:c>
      <x:c r="D22" s="14" t="str">
        <x:v>Reminder</x:v>
      </x:c>
      <x:c r="E22" s="14" t="str">
        <x:v>Slack</x:v>
      </x:c>
      <x:c r="F22" s="16" t="str">
        <x:v>2026-03-29 09:00:00</x:v>
      </x:c>
      <x:c r="G22" s="16" t="str">
        <x:v>2026-03-29 09:20:00</x:v>
      </x:c>
      <x:c r="H22" s="14" t="str">
        <x:v>Read</x:v>
      </x:c>
      <x:c r="I22" s="14" t="str">
        <x:v>Updated Due Date</x:v>
      </x:c>
    </x:row>
    <x:row r="23">
      <x:c r="A23" s="14" t="str">
        <x:v>N00022</x:v>
      </x:c>
      <x:c r="B23" s="14" t="str">
        <x:v>P00028</x:v>
      </x:c>
      <x:c r="C23" s="14" t="str">
        <x:v>E019</x:v>
      </x:c>
      <x:c r="D23" s="14" t="str">
        <x:v>Due Soon</x:v>
      </x:c>
      <x:c r="E23" s="14" t="str">
        <x:v>Email</x:v>
      </x:c>
      <x:c r="F23" s="16" t="str">
        <x:v>2026-04-30 12:00:00</x:v>
      </x:c>
      <x:c r="G23" s="16" t="str">
        <x:v>2026-04-30 12:13:00</x:v>
      </x:c>
      <x:c r="H23" s="14" t="str">
        <x:v>Read</x:v>
      </x:c>
      <x:c r="I23" s="14" t="str">
        <x:v>None</x:v>
      </x:c>
    </x:row>
    <x:row r="24">
      <x:c r="A24" s="14" t="str">
        <x:v>N00023</x:v>
      </x:c>
      <x:c r="B24" s="14" t="str">
        <x:v>P00035</x:v>
      </x:c>
      <x:c r="C24" s="14" t="str">
        <x:v>E014</x:v>
      </x:c>
      <x:c r="D24" s="14" t="str">
        <x:v>Overdue</x:v>
      </x:c>
      <x:c r="E24" s="14" t="str">
        <x:v>Teams</x:v>
      </x:c>
      <x:c r="F24" s="16" t="str">
        <x:v>2026-02-08 02:00:00</x:v>
      </x:c>
      <x:c r="G24" s="16" t="str">
        <x:v>2026-02-08 02:14:00</x:v>
      </x:c>
      <x:c r="H24" s="14" t="str">
        <x:v>Delivered</x:v>
      </x:c>
      <x:c r="I24" s="14" t="str">
        <x:v>Updated Due Date</x:v>
      </x:c>
    </x:row>
    <x:row r="25">
      <x:c r="A25" s="14" t="str">
        <x:v>N00024</x:v>
      </x:c>
      <x:c r="B25" s="14" t="str">
        <x:v>P00042</x:v>
      </x:c>
      <x:c r="C25" s="14" t="str">
        <x:v>E009</x:v>
      </x:c>
      <x:c r="D25" s="14" t="str">
        <x:v>Escalation</x:v>
      </x:c>
      <x:c r="E25" s="14" t="str">
        <x:v>In-App</x:v>
      </x:c>
      <x:c r="F25" s="16" t="str">
        <x:v>2026-03-18 15:00:00</x:v>
      </x:c>
      <x:c r="G25" s="16" t="str">
        <x:v>2026-03-18 15:13:00</x:v>
      </x:c>
      <x:c r="H25" s="14" t="str">
        <x:v>Delivered</x:v>
      </x:c>
      <x:c r="I25" s="14" t="str">
        <x:v>None</x:v>
      </x:c>
    </x:row>
    <x:row r="26">
      <x:c r="A26" s="14" t="str">
        <x:v>N00025</x:v>
      </x:c>
      <x:c r="B26" s="14" t="str">
        <x:v>P00049</x:v>
      </x:c>
      <x:c r="C26" s="14" t="str">
        <x:v>E004</x:v>
      </x:c>
      <x:c r="D26" s="14" t="str">
        <x:v>Reminder</x:v>
      </x:c>
      <x:c r="E26" s="14" t="str">
        <x:v>Slack</x:v>
      </x:c>
      <x:c r="F26" s="16" t="str">
        <x:v>2026-04-15 15:00:00</x:v>
      </x:c>
      <x:c r="G26" s="16" t="str">
        <x:v>2026-04-15 15:15:00</x:v>
      </x:c>
      <x:c r="H26" s="14" t="str">
        <x:v>Delivered</x:v>
      </x:c>
      <x:c r="I26" s="14" t="str">
        <x:v>Marked Complete</x:v>
      </x:c>
    </x:row>
    <x:row r="27">
      <x:c r="A27" s="14" t="str">
        <x:v>N00026</x:v>
      </x:c>
      <x:c r="B27" s="14" t="str">
        <x:v>P00056</x:v>
      </x:c>
      <x:c r="C27" s="14" t="str">
        <x:v>E039</x:v>
      </x:c>
      <x:c r="D27" s="14" t="str">
        <x:v>Due Soon</x:v>
      </x:c>
      <x:c r="E27" s="14" t="str">
        <x:v>Email</x:v>
      </x:c>
      <x:c r="F27" s="16" t="str">
        <x:v>2026-01-15 00:00:00</x:v>
      </x:c>
      <x:c r="G27" s="16" t="str">
        <x:v>2026-01-15 00:13:00</x:v>
      </x:c>
      <x:c r="H27" s="14" t="str">
        <x:v>Delivered</x:v>
      </x:c>
      <x:c r="I27" s="14" t="str">
        <x:v>Updated Due Date</x:v>
      </x:c>
    </x:row>
    <x:row r="28">
      <x:c r="A28" s="14" t="str">
        <x:v>N00027</x:v>
      </x:c>
      <x:c r="B28" s="14" t="str">
        <x:v>P00063</x:v>
      </x:c>
      <x:c r="C28" s="14" t="str">
        <x:v>E034</x:v>
      </x:c>
      <x:c r="D28" s="14" t="str">
        <x:v>Overdue</x:v>
      </x:c>
      <x:c r="E28" s="14" t="str">
        <x:v>Teams</x:v>
      </x:c>
      <x:c r="F28" s="16" t="str">
        <x:v>2026-02-20 15:00:00</x:v>
      </x:c>
      <x:c r="G28" s="16" t="str">
        <x:v>2026-02-20 15:17:00</x:v>
      </x:c>
      <x:c r="H28" s="14" t="str">
        <x:v>Delivered</x:v>
      </x:c>
      <x:c r="I28" s="14" t="str">
        <x:v>Marked Complete</x:v>
      </x:c>
    </x:row>
    <x:row r="29">
      <x:c r="A29" s="14" t="str">
        <x:v>N00028</x:v>
      </x:c>
      <x:c r="B29" s="14" t="str">
        <x:v>P00070</x:v>
      </x:c>
      <x:c r="C29" s="14" t="str">
        <x:v>E029</x:v>
      </x:c>
      <x:c r="D29" s="14" t="str">
        <x:v>Escalation</x:v>
      </x:c>
      <x:c r="E29" s="14" t="str">
        <x:v>In-App</x:v>
      </x:c>
      <x:c r="F29" s="16" t="str">
        <x:v>2026-03-31 21:00:00</x:v>
      </x:c>
      <x:c r="G29" s="16" t="str">
        <x:v>2026-03-31 21:03:00</x:v>
      </x:c>
      <x:c r="H29" s="14" t="str">
        <x:v>Delivered</x:v>
      </x:c>
      <x:c r="I29" s="14" t="str">
        <x:v>Marked Complete</x:v>
      </x:c>
    </x:row>
    <x:row r="30">
      <x:c r="A30" s="14" t="str">
        <x:v>N00029</x:v>
      </x:c>
      <x:c r="B30" s="14" t="str">
        <x:v>P00077</x:v>
      </x:c>
      <x:c r="C30" s="14" t="str">
        <x:v>E024</x:v>
      </x:c>
      <x:c r="D30" s="14" t="str">
        <x:v>Reminder</x:v>
      </x:c>
      <x:c r="E30" s="14" t="str">
        <x:v>Slack</x:v>
      </x:c>
      <x:c r="F30" s="16" t="str">
        <x:v>2026-04-29 22:00:00</x:v>
      </x:c>
      <x:c r="G30" s="16" t="str">
        <x:v>2026-04-29 22:01:00</x:v>
      </x:c>
      <x:c r="H30" s="14" t="str">
        <x:v>Failed</x:v>
      </x:c>
      <x:c r="I30" s="14" t="str">
        <x:v>Opened Promise</x:v>
      </x:c>
    </x:row>
    <x:row r="31">
      <x:c r="A31" s="14" t="str">
        <x:v>N00030</x:v>
      </x:c>
      <x:c r="B31" s="14" t="str">
        <x:v>P00084</x:v>
      </x:c>
      <x:c r="C31" s="14" t="str">
        <x:v>E019</x:v>
      </x:c>
      <x:c r="D31" s="14" t="str">
        <x:v>Due Soon</x:v>
      </x:c>
      <x:c r="E31" s="14" t="str">
        <x:v>Email</x:v>
      </x:c>
      <x:c r="F31" s="16" t="str">
        <x:v>2026-02-05 06:00:00</x:v>
      </x:c>
      <x:c r="G31" s="16" t="str">
        <x:v>2026-02-05 06:03:00</x:v>
      </x:c>
      <x:c r="H31" s="14" t="str">
        <x:v>Read</x:v>
      </x:c>
      <x:c r="I31" s="14" t="str">
        <x:v>None</x:v>
      </x:c>
    </x:row>
    <x:row r="32">
      <x:c r="A32" s="14" t="str">
        <x:v>N00031</x:v>
      </x:c>
      <x:c r="B32" s="14" t="str">
        <x:v>P00091</x:v>
      </x:c>
      <x:c r="C32" s="14" t="str">
        <x:v>E014</x:v>
      </x:c>
      <x:c r="D32" s="14" t="str">
        <x:v>Overdue</x:v>
      </x:c>
      <x:c r="E32" s="14" t="str">
        <x:v>Teams</x:v>
      </x:c>
      <x:c r="F32" s="16" t="str">
        <x:v>2026-03-16 15:00:00</x:v>
      </x:c>
      <x:c r="G32" s="16" t="str">
        <x:v>2026-03-16 15:07:00</x:v>
      </x:c>
      <x:c r="H32" s="14" t="str">
        <x:v>Read</x:v>
      </x:c>
      <x:c r="I32" s="14" t="str">
        <x:v>None</x:v>
      </x:c>
    </x:row>
    <x:row r="33">
      <x:c r="A33" s="14" t="str">
        <x:v>N00032</x:v>
      </x:c>
      <x:c r="B33" s="14" t="str">
        <x:v>P00098</x:v>
      </x:c>
      <x:c r="C33" s="14" t="str">
        <x:v>E009</x:v>
      </x:c>
      <x:c r="D33" s="14" t="str">
        <x:v>Escalation</x:v>
      </x:c>
      <x:c r="E33" s="14" t="str">
        <x:v>In-App</x:v>
      </x:c>
      <x:c r="F33" s="16" t="str">
        <x:v>2026-04-13 07:00:00</x:v>
      </x:c>
      <x:c r="G33" s="16" t="str">
        <x:v>2026-04-13 07:03:00</x:v>
      </x:c>
      <x:c r="H33" s="14" t="str">
        <x:v>Read</x:v>
      </x:c>
      <x:c r="I33" s="14" t="str">
        <x:v>Opened Promise</x:v>
      </x:c>
    </x:row>
    <x:row r="34">
      <x:c r="A34" s="14" t="str">
        <x:v>N00033</x:v>
      </x:c>
      <x:c r="B34" s="14" t="str">
        <x:v>P00105</x:v>
      </x:c>
      <x:c r="C34" s="14" t="str">
        <x:v>E004</x:v>
      </x:c>
      <x:c r="D34" s="14" t="str">
        <x:v>Reminder</x:v>
      </x:c>
      <x:c r="E34" s="14" t="str">
        <x:v>Slack</x:v>
      </x:c>
      <x:c r="F34" s="16" t="str">
        <x:v>2026-01-16 22:00:00</x:v>
      </x:c>
      <x:c r="G34" s="16" t="str">
        <x:v>2026-01-16 22:17:00</x:v>
      </x:c>
      <x:c r="H34" s="14" t="str">
        <x:v>Failed</x:v>
      </x:c>
      <x:c r="I34" s="14" t="str">
        <x:v>Marked Complete</x:v>
      </x:c>
    </x:row>
    <x:row r="35">
      <x:c r="A35" s="14" t="str">
        <x:v>N00034</x:v>
      </x:c>
      <x:c r="B35" s="14" t="str">
        <x:v>P00112</x:v>
      </x:c>
      <x:c r="C35" s="14" t="str">
        <x:v>E039</x:v>
      </x:c>
      <x:c r="D35" s="14" t="str">
        <x:v>Due Soon</x:v>
      </x:c>
      <x:c r="E35" s="14" t="str">
        <x:v>Email</x:v>
      </x:c>
      <x:c r="F35" s="16" t="str">
        <x:v>2026-02-25 09:00:00</x:v>
      </x:c>
      <x:c r="G35" s="16" t="str">
        <x:v>2026-02-25 09:19:00</x:v>
      </x:c>
      <x:c r="H35" s="14" t="str">
        <x:v>Read</x:v>
      </x:c>
      <x:c r="I35" s="14" t="str">
        <x:v>Marked Complete</x:v>
      </x:c>
    </x:row>
    <x:row r="36">
      <x:c r="A36" s="14" t="str">
        <x:v>N00035</x:v>
      </x:c>
      <x:c r="B36" s="14" t="str">
        <x:v>P00119</x:v>
      </x:c>
      <x:c r="C36" s="14" t="str">
        <x:v>E034</x:v>
      </x:c>
      <x:c r="D36" s="14" t="str">
        <x:v>Overdue</x:v>
      </x:c>
      <x:c r="E36" s="14" t="str">
        <x:v>Teams</x:v>
      </x:c>
      <x:c r="F36" s="16" t="str">
        <x:v>2026-03-26 19:00:00</x:v>
      </x:c>
      <x:c r="G36" s="16" t="str">
        <x:v>2026-03-26 19:00:00</x:v>
      </x:c>
      <x:c r="H36" s="14" t="str">
        <x:v>Delivered</x:v>
      </x:c>
      <x:c r="I36" s="14" t="str">
        <x:v>Updated Due Date</x:v>
      </x:c>
    </x:row>
    <x:row r="37">
      <x:c r="A37" s="14" t="str">
        <x:v>N00036</x:v>
      </x:c>
      <x:c r="B37" s="14" t="str">
        <x:v>P00006</x:v>
      </x:c>
      <x:c r="C37" s="14" t="str">
        <x:v>E029</x:v>
      </x:c>
      <x:c r="D37" s="14" t="str">
        <x:v>Escalation</x:v>
      </x:c>
      <x:c r="E37" s="14" t="str">
        <x:v>In-App</x:v>
      </x:c>
      <x:c r="F37" s="16" t="str">
        <x:v>2026-05-05 16:00:00</x:v>
      </x:c>
      <x:c r="G37" s="16" t="str">
        <x:v>2026-05-05 16:10:00</x:v>
      </x:c>
      <x:c r="H37" s="14" t="str">
        <x:v>Delivered</x:v>
      </x:c>
      <x:c r="I37" s="14" t="str">
        <x:v>None</x:v>
      </x:c>
    </x:row>
    <x:row r="38">
      <x:c r="A38" s="14" t="str">
        <x:v>N00037</x:v>
      </x:c>
      <x:c r="B38" s="14" t="str">
        <x:v>P00013</x:v>
      </x:c>
      <x:c r="C38" s="14" t="str">
        <x:v>E024</x:v>
      </x:c>
      <x:c r="D38" s="14" t="str">
        <x:v>Reminder</x:v>
      </x:c>
      <x:c r="E38" s="14" t="str">
        <x:v>Slack</x:v>
      </x:c>
      <x:c r="F38" s="16" t="str">
        <x:v>2026-02-02 16:00:00</x:v>
      </x:c>
      <x:c r="G38" s="16" t="str">
        <x:v>2026-02-02 16:18:00</x:v>
      </x:c>
      <x:c r="H38" s="14" t="str">
        <x:v>Read</x:v>
      </x:c>
      <x:c r="I38" s="14" t="str">
        <x:v>None</x:v>
      </x:c>
    </x:row>
    <x:row r="39">
      <x:c r="A39" s="14" t="str">
        <x:v>N00038</x:v>
      </x:c>
      <x:c r="B39" s="14" t="str">
        <x:v>P00020</x:v>
      </x:c>
      <x:c r="C39" s="14" t="str">
        <x:v>E019</x:v>
      </x:c>
      <x:c r="D39" s="14" t="str">
        <x:v>Due Soon</x:v>
      </x:c>
      <x:c r="E39" s="14" t="str">
        <x:v>Email</x:v>
      </x:c>
      <x:c r="F39" s="16" t="str">
        <x:v>2026-03-06 21:00:00</x:v>
      </x:c>
      <x:c r="G39" s="16" t="str">
        <x:v>2026-03-06 21:02:00</x:v>
      </x:c>
      <x:c r="H39" s="14" t="str">
        <x:v>Read</x:v>
      </x:c>
      <x:c r="I39" s="14" t="str">
        <x:v>None</x:v>
      </x:c>
    </x:row>
    <x:row r="40">
      <x:c r="A40" s="14" t="str">
        <x:v>N00039</x:v>
      </x:c>
      <x:c r="B40" s="14" t="str">
        <x:v>P00027</x:v>
      </x:c>
      <x:c r="C40" s="14" t="str">
        <x:v>E014</x:v>
      </x:c>
      <x:c r="D40" s="14" t="str">
        <x:v>Overdue</x:v>
      </x:c>
      <x:c r="E40" s="14" t="str">
        <x:v>Teams</x:v>
      </x:c>
      <x:c r="F40" s="16" t="str">
        <x:v>2026-04-10 21:00:00</x:v>
      </x:c>
      <x:c r="G40" s="16" t="str">
        <x:v>2026-04-10 21:14:00</x:v>
      </x:c>
      <x:c r="H40" s="14" t="str">
        <x:v>Delivered</x:v>
      </x:c>
      <x:c r="I40" s="14" t="str">
        <x:v>None</x:v>
      </x:c>
    </x:row>
    <x:row r="41">
      <x:c r="A41" s="14" t="str">
        <x:v>N00040</x:v>
      </x:c>
      <x:c r="B41" s="14" t="str">
        <x:v>P00034</x:v>
      </x:c>
      <x:c r="C41" s="14" t="str">
        <x:v>E009</x:v>
      </x:c>
      <x:c r="D41" s="14" t="str">
        <x:v>Escalation</x:v>
      </x:c>
      <x:c r="E41" s="14" t="str">
        <x:v>In-App</x:v>
      </x:c>
      <x:c r="F41" s="16" t="str">
        <x:v>2026-01-12 20:00:00</x:v>
      </x:c>
      <x:c r="G41" s="16" t="str">
        <x:v>2026-01-12 20:18:00</x:v>
      </x:c>
      <x:c r="H41" s="14" t="str">
        <x:v>Read</x:v>
      </x:c>
      <x:c r="I41" s="14" t="str">
        <x:v>Marked Complete</x:v>
      </x:c>
    </x:row>
    <x:row r="42">
      <x:c r="A42" s="14" t="str">
        <x:v>N00041</x:v>
      </x:c>
      <x:c r="B42" s="14" t="str">
        <x:v>P00041</x:v>
      </x:c>
      <x:c r="C42" s="14" t="str">
        <x:v>E004</x:v>
      </x:c>
      <x:c r="D42" s="14" t="str">
        <x:v>Reminder</x:v>
      </x:c>
      <x:c r="E42" s="14" t="str">
        <x:v>Slack</x:v>
      </x:c>
      <x:c r="F42" s="16" t="str">
        <x:v>2026-02-24 23:00:00</x:v>
      </x:c>
      <x:c r="G42" s="16" t="str">
        <x:v>2026-02-24 23:05:00</x:v>
      </x:c>
      <x:c r="H42" s="14" t="str">
        <x:v>Read</x:v>
      </x:c>
      <x:c r="I42" s="14" t="str">
        <x:v>None</x:v>
      </x:c>
    </x:row>
    <x:row r="43">
      <x:c r="A43" s="14" t="str">
        <x:v>N00042</x:v>
      </x:c>
      <x:c r="B43" s="14" t="str">
        <x:v>P00048</x:v>
      </x:c>
      <x:c r="C43" s="14" t="str">
        <x:v>E039</x:v>
      </x:c>
      <x:c r="D43" s="14" t="str">
        <x:v>Due Soon</x:v>
      </x:c>
      <x:c r="E43" s="14" t="str">
        <x:v>Email</x:v>
      </x:c>
      <x:c r="F43" s="16" t="str">
        <x:v>2026-03-22 06:00:00</x:v>
      </x:c>
      <x:c r="G43" s="16" t="str">
        <x:v>2026-03-22 06:08:00</x:v>
      </x:c>
      <x:c r="H43" s="14" t="str">
        <x:v>Delivered</x:v>
      </x:c>
      <x:c r="I43" s="14" t="str">
        <x:v>Opened Promise</x:v>
      </x:c>
    </x:row>
    <x:row r="44">
      <x:c r="A44" s="14" t="str">
        <x:v>N00043</x:v>
      </x:c>
      <x:c r="B44" s="14" t="str">
        <x:v>P00055</x:v>
      </x:c>
      <x:c r="C44" s="14" t="str">
        <x:v>E034</x:v>
      </x:c>
      <x:c r="D44" s="14" t="str">
        <x:v>Overdue</x:v>
      </x:c>
      <x:c r="E44" s="14" t="str">
        <x:v>Teams</x:v>
      </x:c>
      <x:c r="F44" s="16" t="str">
        <x:v>2026-04-26 18:00:00</x:v>
      </x:c>
      <x:c r="G44" s="16" t="str">
        <x:v>2026-04-26 18:13:00</x:v>
      </x:c>
      <x:c r="H44" s="14" t="str">
        <x:v>Delivered</x:v>
      </x:c>
      <x:c r="I44" s="14" t="str">
        <x:v>Updated Due Date</x:v>
      </x:c>
    </x:row>
    <x:row r="45">
      <x:c r="A45" s="14" t="str">
        <x:v>N00044</x:v>
      </x:c>
      <x:c r="B45" s="14" t="str">
        <x:v>P00062</x:v>
      </x:c>
      <x:c r="C45" s="14" t="str">
        <x:v>E029</x:v>
      </x:c>
      <x:c r="D45" s="14" t="str">
        <x:v>Escalation</x:v>
      </x:c>
      <x:c r="E45" s="14" t="str">
        <x:v>In-App</x:v>
      </x:c>
      <x:c r="F45" s="16" t="str">
        <x:v>2026-01-31 09:00:00</x:v>
      </x:c>
      <x:c r="G45" s="16" t="str">
        <x:v>2026-01-31 09:11:00</x:v>
      </x:c>
      <x:c r="H45" s="14" t="str">
        <x:v>Delivered</x:v>
      </x:c>
      <x:c r="I45" s="14" t="str">
        <x:v>None</x:v>
      </x:c>
    </x:row>
    <x:row r="46">
      <x:c r="A46" s="14" t="str">
        <x:v>N00045</x:v>
      </x:c>
      <x:c r="B46" s="14" t="str">
        <x:v>P00069</x:v>
      </x:c>
      <x:c r="C46" s="14" t="str">
        <x:v>E024</x:v>
      </x:c>
      <x:c r="D46" s="14" t="str">
        <x:v>Reminder</x:v>
      </x:c>
      <x:c r="E46" s="14" t="str">
        <x:v>Slack</x:v>
      </x:c>
      <x:c r="F46" s="16" t="str">
        <x:v>2026-03-06 20:00:00</x:v>
      </x:c>
      <x:c r="G46" s="16" t="str">
        <x:v>2026-03-06 20:16:00</x:v>
      </x:c>
      <x:c r="H46" s="14" t="str">
        <x:v>Read</x:v>
      </x:c>
      <x:c r="I46" s="14" t="str">
        <x:v>None</x:v>
      </x:c>
    </x:row>
    <x:row r="47">
      <x:c r="A47" s="14" t="str">
        <x:v>N00046</x:v>
      </x:c>
      <x:c r="B47" s="14" t="str">
        <x:v>P00076</x:v>
      </x:c>
      <x:c r="C47" s="14" t="str">
        <x:v>E019</x:v>
      </x:c>
      <x:c r="D47" s="14" t="str">
        <x:v>Due Soon</x:v>
      </x:c>
      <x:c r="E47" s="14" t="str">
        <x:v>Email</x:v>
      </x:c>
      <x:c r="F47" s="16" t="str">
        <x:v>2026-04-08 18:00:00</x:v>
      </x:c>
      <x:c r="G47" s="16" t="str">
        <x:v>2026-04-08 18:19:00</x:v>
      </x:c>
      <x:c r="H47" s="14" t="str">
        <x:v>Delivered</x:v>
      </x:c>
      <x:c r="I47" s="14" t="str">
        <x:v>None</x:v>
      </x:c>
    </x:row>
    <x:row r="48">
      <x:c r="A48" s="14" t="str">
        <x:v>N00047</x:v>
      </x:c>
      <x:c r="B48" s="14" t="str">
        <x:v>P00083</x:v>
      </x:c>
      <x:c r="C48" s="14" t="str">
        <x:v>E014</x:v>
      </x:c>
      <x:c r="D48" s="14" t="str">
        <x:v>Overdue</x:v>
      </x:c>
      <x:c r="E48" s="14" t="str">
        <x:v>Teams</x:v>
      </x:c>
      <x:c r="F48" s="16" t="str">
        <x:v>2026-01-12 20:00:00</x:v>
      </x:c>
      <x:c r="G48" s="16" t="str">
        <x:v>2026-01-12 20:04:00</x:v>
      </x:c>
      <x:c r="H48" s="14" t="str">
        <x:v>Read</x:v>
      </x:c>
      <x:c r="I48" s="14" t="str">
        <x:v>None</x:v>
      </x:c>
    </x:row>
    <x:row r="49">
      <x:c r="A49" s="14" t="str">
        <x:v>N00048</x:v>
      </x:c>
      <x:c r="B49" s="14" t="str">
        <x:v>P00090</x:v>
      </x:c>
      <x:c r="C49" s="14" t="str">
        <x:v>E009</x:v>
      </x:c>
      <x:c r="D49" s="14" t="str">
        <x:v>Escalation</x:v>
      </x:c>
      <x:c r="E49" s="14" t="str">
        <x:v>In-App</x:v>
      </x:c>
      <x:c r="F49" s="16" t="str">
        <x:v>2026-02-15 20:00:00</x:v>
      </x:c>
      <x:c r="G49" s="16" t="str">
        <x:v>2026-02-15 20:00:00</x:v>
      </x:c>
      <x:c r="H49" s="14" t="str">
        <x:v>Read</x:v>
      </x:c>
      <x:c r="I49" s="14" t="str">
        <x:v>Opened Promise</x:v>
      </x:c>
    </x:row>
    <x:row r="50">
      <x:c r="A50" s="14" t="str">
        <x:v>N00049</x:v>
      </x:c>
      <x:c r="B50" s="14" t="str">
        <x:v>P00097</x:v>
      </x:c>
      <x:c r="C50" s="14" t="str">
        <x:v>E004</x:v>
      </x:c>
      <x:c r="D50" s="14" t="str">
        <x:v>Reminder</x:v>
      </x:c>
      <x:c r="E50" s="14" t="str">
        <x:v>Slack</x:v>
      </x:c>
      <x:c r="F50" s="16" t="str">
        <x:v>2026-03-22 01:00:00</x:v>
      </x:c>
      <x:c r="G50" s="16" t="str">
        <x:v>2026-03-22 01:12:00</x:v>
      </x:c>
      <x:c r="H50" s="14" t="str">
        <x:v>Read</x:v>
      </x:c>
      <x:c r="I50" s="14" t="str">
        <x:v>None</x:v>
      </x:c>
    </x:row>
    <x:row r="51">
      <x:c r="A51" s="14" t="str">
        <x:v>N00050</x:v>
      </x:c>
      <x:c r="B51" s="14" t="str">
        <x:v>P00104</x:v>
      </x:c>
      <x:c r="C51" s="14" t="str">
        <x:v>E039</x:v>
      </x:c>
      <x:c r="D51" s="14" t="str">
        <x:v>Due Soon</x:v>
      </x:c>
      <x:c r="E51" s="14" t="str">
        <x:v>Email</x:v>
      </x:c>
      <x:c r="F51" s="16" t="str">
        <x:v>2026-04-24 18:00:00</x:v>
      </x:c>
      <x:c r="G51" s="16" t="str">
        <x:v>2026-04-24 18:02:00</x:v>
      </x:c>
      <x:c r="H51" s="14" t="str">
        <x:v>Delivered</x:v>
      </x:c>
      <x:c r="I51" s="14" t="str">
        <x:v>Updated Due Date</x:v>
      </x:c>
    </x:row>
    <x:row r="52">
      <x:c r="A52" s="14" t="str">
        <x:v>N00051</x:v>
      </x:c>
      <x:c r="B52" s="14" t="str">
        <x:v>P00111</x:v>
      </x:c>
      <x:c r="C52" s="14" t="str">
        <x:v>E034</x:v>
      </x:c>
      <x:c r="D52" s="14" t="str">
        <x:v>Overdue</x:v>
      </x:c>
      <x:c r="E52" s="14" t="str">
        <x:v>Teams</x:v>
      </x:c>
      <x:c r="F52" s="16" t="str">
        <x:v>2026-01-28 10:00:00</x:v>
      </x:c>
      <x:c r="G52" s="16" t="str">
        <x:v>2026-01-28 10:00:00</x:v>
      </x:c>
      <x:c r="H52" s="14" t="str">
        <x:v>Read</x:v>
      </x:c>
      <x:c r="I52" s="14" t="str">
        <x:v>None</x:v>
      </x:c>
    </x:row>
    <x:row r="53">
      <x:c r="A53" s="14" t="str">
        <x:v>N00052</x:v>
      </x:c>
      <x:c r="B53" s="14" t="str">
        <x:v>P00118</x:v>
      </x:c>
      <x:c r="C53" s="14" t="str">
        <x:v>E029</x:v>
      </x:c>
      <x:c r="D53" s="14" t="str">
        <x:v>Escalation</x:v>
      </x:c>
      <x:c r="E53" s="14" t="str">
        <x:v>In-App</x:v>
      </x:c>
      <x:c r="F53" s="16" t="str">
        <x:v>2026-03-04 12:00:00</x:v>
      </x:c>
      <x:c r="G53" s="16" t="str">
        <x:v>2026-03-04 12:18:00</x:v>
      </x:c>
      <x:c r="H53" s="14" t="str">
        <x:v>Delivered</x:v>
      </x:c>
      <x:c r="I53" s="14" t="str">
        <x:v>Opened Promise</x:v>
      </x:c>
    </x:row>
    <x:row r="54">
      <x:c r="A54" s="14" t="str">
        <x:v>N00053</x:v>
      </x:c>
      <x:c r="B54" s="14" t="str">
        <x:v>P00005</x:v>
      </x:c>
      <x:c r="C54" s="14" t="str">
        <x:v>E024</x:v>
      </x:c>
      <x:c r="D54" s="14" t="str">
        <x:v>Reminder</x:v>
      </x:c>
      <x:c r="E54" s="14" t="str">
        <x:v>Slack</x:v>
      </x:c>
      <x:c r="F54" s="16" t="str">
        <x:v>2026-04-09 02:00:00</x:v>
      </x:c>
      <x:c r="G54" s="16" t="str">
        <x:v>2026-04-09 02:09:00</x:v>
      </x:c>
      <x:c r="H54" s="14" t="str">
        <x:v>Delivered</x:v>
      </x:c>
      <x:c r="I54" s="14" t="str">
        <x:v>None</x:v>
      </x:c>
    </x:row>
    <x:row r="55">
      <x:c r="A55" s="14" t="str">
        <x:v>N00054</x:v>
      </x:c>
      <x:c r="B55" s="14" t="str">
        <x:v>P00012</x:v>
      </x:c>
      <x:c r="C55" s="14" t="str">
        <x:v>E019</x:v>
      </x:c>
      <x:c r="D55" s="14" t="str">
        <x:v>Due Soon</x:v>
      </x:c>
      <x:c r="E55" s="14" t="str">
        <x:v>Email</x:v>
      </x:c>
      <x:c r="F55" s="16" t="str">
        <x:v>2026-01-14 22:00:00</x:v>
      </x:c>
      <x:c r="G55" s="16" t="str">
        <x:v>2026-01-14 22:05:00</x:v>
      </x:c>
      <x:c r="H55" s="14" t="str">
        <x:v>Read</x:v>
      </x:c>
      <x:c r="I55" s="14" t="str">
        <x:v>Opened Promise</x:v>
      </x:c>
    </x:row>
    <x:row r="56">
      <x:c r="A56" s="14" t="str">
        <x:v>N00055</x:v>
      </x:c>
      <x:c r="B56" s="14" t="str">
        <x:v>P00019</x:v>
      </x:c>
      <x:c r="C56" s="14" t="str">
        <x:v>E014</x:v>
      </x:c>
      <x:c r="D56" s="14" t="str">
        <x:v>Overdue</x:v>
      </x:c>
      <x:c r="E56" s="14" t="str">
        <x:v>Teams</x:v>
      </x:c>
      <x:c r="F56" s="16" t="str">
        <x:v>2026-02-14 09:00:00</x:v>
      </x:c>
      <x:c r="G56" s="16" t="str">
        <x:v>2026-02-14 09:02:00</x:v>
      </x:c>
      <x:c r="H56" s="14" t="str">
        <x:v>Delivered</x:v>
      </x:c>
      <x:c r="I56" s="14" t="str">
        <x:v>None</x:v>
      </x:c>
    </x:row>
    <x:row r="57">
      <x:c r="A57" s="14" t="str">
        <x:v>N00056</x:v>
      </x:c>
      <x:c r="B57" s="14" t="str">
        <x:v>P00026</x:v>
      </x:c>
      <x:c r="C57" s="14" t="str">
        <x:v>E009</x:v>
      </x:c>
      <x:c r="D57" s="14" t="str">
        <x:v>Escalation</x:v>
      </x:c>
      <x:c r="E57" s="14" t="str">
        <x:v>In-App</x:v>
      </x:c>
      <x:c r="F57" s="16" t="str">
        <x:v>2026-03-27 11:00:00</x:v>
      </x:c>
      <x:c r="G57" s="16" t="str">
        <x:v>2026-03-27 11:18:00</x:v>
      </x:c>
      <x:c r="H57" s="14" t="str">
        <x:v>Delivered</x:v>
      </x:c>
      <x:c r="I57" s="14" t="str">
        <x:v>None</x:v>
      </x:c>
    </x:row>
    <x:row r="58">
      <x:c r="A58" s="14" t="str">
        <x:v>N00057</x:v>
      </x:c>
      <x:c r="B58" s="14" t="str">
        <x:v>P00033</x:v>
      </x:c>
      <x:c r="C58" s="14" t="str">
        <x:v>E004</x:v>
      </x:c>
      <x:c r="D58" s="14" t="str">
        <x:v>Reminder</x:v>
      </x:c>
      <x:c r="E58" s="14" t="str">
        <x:v>Slack</x:v>
      </x:c>
      <x:c r="F58" s="16" t="str">
        <x:v>2026-04-26 13:00:00</x:v>
      </x:c>
      <x:c r="G58" s="16" t="str">
        <x:v>2026-04-26 13:10:00</x:v>
      </x:c>
      <x:c r="H58" s="14" t="str">
        <x:v>Delivered</x:v>
      </x:c>
      <x:c r="I58" s="14" t="str">
        <x:v>Updated Due Date</x:v>
      </x:c>
    </x:row>
    <x:row r="59">
      <x:c r="A59" s="14" t="str">
        <x:v>N00058</x:v>
      </x:c>
      <x:c r="B59" s="14" t="str">
        <x:v>P00040</x:v>
      </x:c>
      <x:c r="C59" s="14" t="str">
        <x:v>E039</x:v>
      </x:c>
      <x:c r="D59" s="14" t="str">
        <x:v>Due Soon</x:v>
      </x:c>
      <x:c r="E59" s="14" t="str">
        <x:v>Email</x:v>
      </x:c>
      <x:c r="F59" s="16" t="str">
        <x:v>2026-02-01 11:00:00</x:v>
      </x:c>
      <x:c r="G59" s="16" t="str">
        <x:v>2026-02-01 11:16:00</x:v>
      </x:c>
      <x:c r="H59" s="14" t="str">
        <x:v>Read</x:v>
      </x:c>
      <x:c r="I59" s="14" t="str">
        <x:v>Opened Promise</x:v>
      </x:c>
    </x:row>
    <x:row r="60">
      <x:c r="A60" s="14" t="str">
        <x:v>N00059</x:v>
      </x:c>
      <x:c r="B60" s="14" t="str">
        <x:v>P00047</x:v>
      </x:c>
      <x:c r="C60" s="14" t="str">
        <x:v>E034</x:v>
      </x:c>
      <x:c r="D60" s="14" t="str">
        <x:v>Overdue</x:v>
      </x:c>
      <x:c r="E60" s="14" t="str">
        <x:v>Teams</x:v>
      </x:c>
      <x:c r="F60" s="16" t="str">
        <x:v>2026-03-05 01:00:00</x:v>
      </x:c>
      <x:c r="G60" s="16" t="str">
        <x:v>2026-03-05 01:11:00</x:v>
      </x:c>
      <x:c r="H60" s="14" t="str">
        <x:v>Delivered</x:v>
      </x:c>
      <x:c r="I60" s="14" t="str">
        <x:v>Marked Complete</x:v>
      </x:c>
    </x:row>
    <x:row r="61">
      <x:c r="A61" s="14" t="str">
        <x:v>N00060</x:v>
      </x:c>
      <x:c r="B61" s="14" t="str">
        <x:v>P00054</x:v>
      </x:c>
      <x:c r="C61" s="14" t="str">
        <x:v>E029</x:v>
      </x:c>
      <x:c r="D61" s="14" t="str">
        <x:v>Escalation</x:v>
      </x:c>
      <x:c r="E61" s="14" t="str">
        <x:v>In-App</x:v>
      </x:c>
      <x:c r="F61" s="16" t="str">
        <x:v>2026-04-04 17:00:00</x:v>
      </x:c>
      <x:c r="G61" s="16" t="str">
        <x:v>2026-04-04 17:07:00</x:v>
      </x:c>
      <x:c r="H61" s="14" t="str">
        <x:v>Delivered</x:v>
      </x:c>
      <x:c r="I61" s="14" t="str">
        <x:v>None</x:v>
      </x:c>
    </x:row>
    <x:row r="62">
      <x:c r="A62" s="14" t="str">
        <x:v>N00061</x:v>
      </x:c>
      <x:c r="B62" s="14" t="str">
        <x:v>P00061</x:v>
      </x:c>
      <x:c r="C62" s="14" t="str">
        <x:v>E024</x:v>
      </x:c>
      <x:c r="D62" s="14" t="str">
        <x:v>Reminder</x:v>
      </x:c>
      <x:c r="E62" s="14" t="str">
        <x:v>Slack</x:v>
      </x:c>
      <x:c r="F62" s="16" t="str">
        <x:v>2026-01-14 22:00:00</x:v>
      </x:c>
      <x:c r="G62" s="16" t="str">
        <x:v>2026-01-14 22:19:00</x:v>
      </x:c>
      <x:c r="H62" s="14" t="str">
        <x:v>Delivered</x:v>
      </x:c>
      <x:c r="I62" s="14" t="str">
        <x:v>Updated Due Date</x:v>
      </x:c>
    </x:row>
    <x:row r="63">
      <x:c r="A63" s="14" t="str">
        <x:v>N00062</x:v>
      </x:c>
      <x:c r="B63" s="14" t="str">
        <x:v>P00068</x:v>
      </x:c>
      <x:c r="C63" s="14" t="str">
        <x:v>E019</x:v>
      </x:c>
      <x:c r="D63" s="14" t="str">
        <x:v>Due Soon</x:v>
      </x:c>
      <x:c r="E63" s="14" t="str">
        <x:v>Email</x:v>
      </x:c>
      <x:c r="F63" s="16" t="str">
        <x:v>2026-02-10 23:00:00</x:v>
      </x:c>
      <x:c r="G63" s="16" t="str">
        <x:v>2026-02-10 23:05:00</x:v>
      </x:c>
      <x:c r="H63" s="14" t="str">
        <x:v>Failed</x:v>
      </x:c>
      <x:c r="I63" s="14" t="str">
        <x:v>Opened Promise</x:v>
      </x:c>
    </x:row>
    <x:row r="64">
      <x:c r="A64" s="14" t="str">
        <x:v>N00063</x:v>
      </x:c>
      <x:c r="B64" s="14" t="str">
        <x:v>P00075</x:v>
      </x:c>
      <x:c r="C64" s="14" t="str">
        <x:v>E014</x:v>
      </x:c>
      <x:c r="D64" s="14" t="str">
        <x:v>Overdue</x:v>
      </x:c>
      <x:c r="E64" s="14" t="str">
        <x:v>Teams</x:v>
      </x:c>
      <x:c r="F64" s="16" t="str">
        <x:v>2026-03-19 12:00:00</x:v>
      </x:c>
      <x:c r="G64" s="16" t="str">
        <x:v>2026-03-19 12:18:00</x:v>
      </x:c>
      <x:c r="H64" s="14" t="str">
        <x:v>Read</x:v>
      </x:c>
      <x:c r="I64" s="14" t="str">
        <x:v>Opened Promise</x:v>
      </x:c>
    </x:row>
    <x:row r="65">
      <x:c r="A65" s="14" t="str">
        <x:v>N00064</x:v>
      </x:c>
      <x:c r="B65" s="14" t="str">
        <x:v>P00082</x:v>
      </x:c>
      <x:c r="C65" s="14" t="str">
        <x:v>E009</x:v>
      </x:c>
      <x:c r="D65" s="14" t="str">
        <x:v>Escalation</x:v>
      </x:c>
      <x:c r="E65" s="14" t="str">
        <x:v>In-App</x:v>
      </x:c>
      <x:c r="F65" s="16" t="str">
        <x:v>2026-04-24 09:00:00</x:v>
      </x:c>
      <x:c r="G65" s="16" t="str">
        <x:v>2026-04-24 09:20:00</x:v>
      </x:c>
      <x:c r="H65" s="14" t="str">
        <x:v>Delivered</x:v>
      </x:c>
      <x:c r="I65" s="14" t="str">
        <x:v>Opened Promise</x:v>
      </x:c>
    </x:row>
    <x:row r="66">
      <x:c r="A66" s="14" t="str">
        <x:v>N00065</x:v>
      </x:c>
      <x:c r="B66" s="14" t="str">
        <x:v>P00089</x:v>
      </x:c>
      <x:c r="C66" s="14" t="str">
        <x:v>E004</x:v>
      </x:c>
      <x:c r="D66" s="14" t="str">
        <x:v>Reminder</x:v>
      </x:c>
      <x:c r="E66" s="14" t="str">
        <x:v>Slack</x:v>
      </x:c>
      <x:c r="F66" s="16" t="str">
        <x:v>2026-01-24 13:00:00</x:v>
      </x:c>
      <x:c r="G66" s="16" t="str">
        <x:v>2026-01-24 13:14:00</x:v>
      </x:c>
      <x:c r="H66" s="14" t="str">
        <x:v>Read</x:v>
      </x:c>
      <x:c r="I66" s="14" t="str">
        <x:v>Updated Due Date</x:v>
      </x:c>
    </x:row>
    <x:row r="67">
      <x:c r="A67" s="14" t="str">
        <x:v>N00066</x:v>
      </x:c>
      <x:c r="B67" s="14" t="str">
        <x:v>P00096</x:v>
      </x:c>
      <x:c r="C67" s="14" t="str">
        <x:v>E039</x:v>
      </x:c>
      <x:c r="D67" s="14" t="str">
        <x:v>Due Soon</x:v>
      </x:c>
      <x:c r="E67" s="14" t="str">
        <x:v>Email</x:v>
      </x:c>
      <x:c r="F67" s="16" t="str">
        <x:v>2026-02-27 18:00:00</x:v>
      </x:c>
      <x:c r="G67" s="16" t="str">
        <x:v>2026-02-27 18:11:00</x:v>
      </x:c>
      <x:c r="H67" s="14" t="str">
        <x:v>Read</x:v>
      </x:c>
      <x:c r="I67" s="14" t="str">
        <x:v>None</x:v>
      </x:c>
    </x:row>
    <x:row r="68">
      <x:c r="A68" s="14" t="str">
        <x:v>N00067</x:v>
      </x:c>
      <x:c r="B68" s="14" t="str">
        <x:v>P00103</x:v>
      </x:c>
      <x:c r="C68" s="14" t="str">
        <x:v>E034</x:v>
      </x:c>
      <x:c r="D68" s="14" t="str">
        <x:v>Overdue</x:v>
      </x:c>
      <x:c r="E68" s="14" t="str">
        <x:v>Teams</x:v>
      </x:c>
      <x:c r="F68" s="16" t="str">
        <x:v>2026-04-10 16:00:00</x:v>
      </x:c>
      <x:c r="G68" s="16" t="str">
        <x:v>2026-04-10 16:01:00</x:v>
      </x:c>
      <x:c r="H68" s="14" t="str">
        <x:v>Delivered</x:v>
      </x:c>
      <x:c r="I68" s="14" t="str">
        <x:v>Marked Complete</x:v>
      </x:c>
    </x:row>
    <x:row r="69">
      <x:c r="A69" s="14" t="str">
        <x:v>N00068</x:v>
      </x:c>
      <x:c r="B69" s="14" t="str">
        <x:v>P00110</x:v>
      </x:c>
      <x:c r="C69" s="14" t="str">
        <x:v>E029</x:v>
      </x:c>
      <x:c r="D69" s="14" t="str">
        <x:v>Escalation</x:v>
      </x:c>
      <x:c r="E69" s="14" t="str">
        <x:v>In-App</x:v>
      </x:c>
      <x:c r="F69" s="16" t="str">
        <x:v>2026-05-02 21:00:00</x:v>
      </x:c>
      <x:c r="G69" s="16" t="str">
        <x:v>2026-05-02 21:20:00</x:v>
      </x:c>
      <x:c r="H69" s="14" t="str">
        <x:v>Read</x:v>
      </x:c>
      <x:c r="I69" s="14" t="str">
        <x:v>Marked Complete</x:v>
      </x:c>
    </x:row>
    <x:row r="70">
      <x:c r="A70" s="14" t="str">
        <x:v>N00069</x:v>
      </x:c>
      <x:c r="B70" s="14" t="str">
        <x:v>P00117</x:v>
      </x:c>
      <x:c r="C70" s="14" t="str">
        <x:v>E024</x:v>
      </x:c>
      <x:c r="D70" s="14" t="str">
        <x:v>Reminder</x:v>
      </x:c>
      <x:c r="E70" s="14" t="str">
        <x:v>Slack</x:v>
      </x:c>
      <x:c r="F70" s="16" t="str">
        <x:v>2026-02-11 22:00:00</x:v>
      </x:c>
      <x:c r="G70" s="16" t="str">
        <x:v>2026-02-11 22:14:00</x:v>
      </x:c>
      <x:c r="H70" s="14" t="str">
        <x:v>Read</x:v>
      </x:c>
      <x:c r="I70" s="14" t="str">
        <x:v>Marked Complete</x:v>
      </x:c>
    </x:row>
    <x:row r="71">
      <x:c r="A71" s="14" t="str">
        <x:v>N00070</x:v>
      </x:c>
      <x:c r="B71" s="14" t="str">
        <x:v>P00004</x:v>
      </x:c>
      <x:c r="C71" s="14" t="str">
        <x:v>E019</x:v>
      </x:c>
      <x:c r="D71" s="14" t="str">
        <x:v>Due Soon</x:v>
      </x:c>
      <x:c r="E71" s="14" t="str">
        <x:v>Email</x:v>
      </x:c>
      <x:c r="F71" s="16" t="str">
        <x:v>2026-03-13 14:00:00</x:v>
      </x:c>
      <x:c r="G71" s="16" t="str">
        <x:v>2026-03-13 14:14:00</x:v>
      </x:c>
      <x:c r="H71" s="14" t="str">
        <x:v>Read</x:v>
      </x:c>
      <x:c r="I71" s="14" t="str">
        <x:v>Opened Promise</x:v>
      </x:c>
    </x:row>
    <x:row r="72">
      <x:c r="A72" s="14" t="str">
        <x:v>N00071</x:v>
      </x:c>
      <x:c r="B72" s="14" t="str">
        <x:v>P00011</x:v>
      </x:c>
      <x:c r="C72" s="14" t="str">
        <x:v>E014</x:v>
      </x:c>
      <x:c r="D72" s="14" t="str">
        <x:v>Overdue</x:v>
      </x:c>
      <x:c r="E72" s="14" t="str">
        <x:v>Teams</x:v>
      </x:c>
      <x:c r="F72" s="16" t="str">
        <x:v>2026-04-19 21:00:00</x:v>
      </x:c>
      <x:c r="G72" s="16" t="str">
        <x:v>2026-04-19 21:10:00</x:v>
      </x:c>
      <x:c r="H72" s="14" t="str">
        <x:v>Read</x:v>
      </x:c>
      <x:c r="I72" s="14" t="str">
        <x:v>Opened Promise</x:v>
      </x:c>
    </x:row>
    <x:row r="73">
      <x:c r="A73" s="14" t="str">
        <x:v>N00072</x:v>
      </x:c>
      <x:c r="B73" s="14" t="str">
        <x:v>P00018</x:v>
      </x:c>
      <x:c r="C73" s="14" t="str">
        <x:v>E009</x:v>
      </x:c>
      <x:c r="D73" s="14" t="str">
        <x:v>Escalation</x:v>
      </x:c>
      <x:c r="E73" s="14" t="str">
        <x:v>In-App</x:v>
      </x:c>
      <x:c r="F73" s="16" t="str">
        <x:v>2026-01-25 13:00:00</x:v>
      </x:c>
      <x:c r="G73" s="16" t="str">
        <x:v>2026-01-25 13:14:00</x:v>
      </x:c>
      <x:c r="H73" s="14" t="str">
        <x:v>Delivered</x:v>
      </x:c>
      <x:c r="I73" s="14" t="str">
        <x:v>Marked Complete</x:v>
      </x:c>
    </x:row>
    <x:row r="74">
      <x:c r="A74" s="14" t="str">
        <x:v>N00073</x:v>
      </x:c>
      <x:c r="B74" s="14" t="str">
        <x:v>P00025</x:v>
      </x:c>
      <x:c r="C74" s="14" t="str">
        <x:v>E004</x:v>
      </x:c>
      <x:c r="D74" s="14" t="str">
        <x:v>Reminder</x:v>
      </x:c>
      <x:c r="E74" s="14" t="str">
        <x:v>Slack</x:v>
      </x:c>
      <x:c r="F74" s="16" t="str">
        <x:v>2026-02-24 21:00:00</x:v>
      </x:c>
      <x:c r="G74" s="16" t="str">
        <x:v>2026-02-24 21:02:00</x:v>
      </x:c>
      <x:c r="H74" s="14" t="str">
        <x:v>Read</x:v>
      </x:c>
      <x:c r="I74" s="14" t="str">
        <x:v>None</x:v>
      </x:c>
    </x:row>
    <x:row r="75">
      <x:c r="A75" s="14" t="str">
        <x:v>N00074</x:v>
      </x:c>
      <x:c r="B75" s="14" t="str">
        <x:v>P00032</x:v>
      </x:c>
      <x:c r="C75" s="14" t="str">
        <x:v>E039</x:v>
      </x:c>
      <x:c r="D75" s="14" t="str">
        <x:v>Due Soon</x:v>
      </x:c>
      <x:c r="E75" s="14" t="str">
        <x:v>Email</x:v>
      </x:c>
      <x:c r="F75" s="16" t="str">
        <x:v>2026-03-30 01:00:00</x:v>
      </x:c>
      <x:c r="G75" s="16" t="str">
        <x:v>2026-03-30 01:14:00</x:v>
      </x:c>
      <x:c r="H75" s="14" t="str">
        <x:v>Failed</x:v>
      </x:c>
      <x:c r="I75" s="14" t="str">
        <x:v>Opened Promise</x:v>
      </x:c>
    </x:row>
    <x:row r="76">
      <x:c r="A76" s="14" t="str">
        <x:v>N00075</x:v>
      </x:c>
      <x:c r="B76" s="14" t="str">
        <x:v>P00039</x:v>
      </x:c>
      <x:c r="C76" s="14" t="str">
        <x:v>E034</x:v>
      </x:c>
      <x:c r="D76" s="14" t="str">
        <x:v>Overdue</x:v>
      </x:c>
      <x:c r="E76" s="14" t="str">
        <x:v>Teams</x:v>
      </x:c>
      <x:c r="F76" s="16" t="str">
        <x:v>2026-05-11 03:00:00</x:v>
      </x:c>
      <x:c r="G76" s="16" t="str">
        <x:v>2026-05-11 03:11:00</x:v>
      </x:c>
      <x:c r="H76" s="14" t="str">
        <x:v>Delivered</x:v>
      </x:c>
      <x:c r="I76" s="14" t="str">
        <x:v>None</x:v>
      </x:c>
    </x:row>
    <x:row r="77">
      <x:c r="A77" s="14" t="str">
        <x:v>N00076</x:v>
      </x:c>
      <x:c r="B77" s="14" t="str">
        <x:v>P00046</x:v>
      </x:c>
      <x:c r="C77" s="14" t="str">
        <x:v>E029</x:v>
      </x:c>
      <x:c r="D77" s="14" t="str">
        <x:v>Escalation</x:v>
      </x:c>
      <x:c r="E77" s="14" t="str">
        <x:v>In-App</x:v>
      </x:c>
      <x:c r="F77" s="16" t="str">
        <x:v>2026-02-11 14:00:00</x:v>
      </x:c>
      <x:c r="G77" s="16" t="str">
        <x:v>2026-02-11 14:10:00</x:v>
      </x:c>
      <x:c r="H77" s="14" t="str">
        <x:v>Read</x:v>
      </x:c>
      <x:c r="I77" s="14" t="str">
        <x:v>None</x:v>
      </x:c>
    </x:row>
    <x:row r="78">
      <x:c r="A78" s="14" t="str">
        <x:v>N00077</x:v>
      </x:c>
      <x:c r="B78" s="14" t="str">
        <x:v>P00053</x:v>
      </x:c>
      <x:c r="C78" s="14" t="str">
        <x:v>E024</x:v>
      </x:c>
      <x:c r="D78" s="14" t="str">
        <x:v>Reminder</x:v>
      </x:c>
      <x:c r="E78" s="14" t="str">
        <x:v>Slack</x:v>
      </x:c>
      <x:c r="F78" s="16" t="str">
        <x:v>2026-03-14 05:00:00</x:v>
      </x:c>
      <x:c r="G78" s="16" t="str">
        <x:v>2026-03-14 05:02:00</x:v>
      </x:c>
      <x:c r="H78" s="14" t="str">
        <x:v>Delivered</x:v>
      </x:c>
      <x:c r="I78" s="14" t="str">
        <x:v>Opened Promise</x:v>
      </x:c>
    </x:row>
    <x:row r="79">
      <x:c r="A79" s="14" t="str">
        <x:v>N00078</x:v>
      </x:c>
      <x:c r="B79" s="14" t="str">
        <x:v>P00060</x:v>
      </x:c>
      <x:c r="C79" s="14" t="str">
        <x:v>E019</x:v>
      </x:c>
      <x:c r="D79" s="14" t="str">
        <x:v>Due Soon</x:v>
      </x:c>
      <x:c r="E79" s="14" t="str">
        <x:v>Email</x:v>
      </x:c>
      <x:c r="F79" s="16" t="str">
        <x:v>2026-04-17 17:00:00</x:v>
      </x:c>
      <x:c r="G79" s="16" t="str">
        <x:v>2026-04-17 17:09:00</x:v>
      </x:c>
      <x:c r="H79" s="14" t="str">
        <x:v>Delivered</x:v>
      </x:c>
      <x:c r="I79" s="14" t="str">
        <x:v>Marked Complete</x:v>
      </x:c>
    </x:row>
    <x:row r="80">
      <x:c r="A80" s="14" t="str">
        <x:v>N00079</x:v>
      </x:c>
      <x:c r="B80" s="14" t="str">
        <x:v>P00067</x:v>
      </x:c>
      <x:c r="C80" s="14" t="str">
        <x:v>E014</x:v>
      </x:c>
      <x:c r="D80" s="14" t="str">
        <x:v>Overdue</x:v>
      </x:c>
      <x:c r="E80" s="14" t="str">
        <x:v>Teams</x:v>
      </x:c>
      <x:c r="F80" s="16" t="str">
        <x:v>2026-01-18 16:00:00</x:v>
      </x:c>
      <x:c r="G80" s="16" t="str">
        <x:v>2026-01-18 16:10:00</x:v>
      </x:c>
      <x:c r="H80" s="14" t="str">
        <x:v>Delivered</x:v>
      </x:c>
      <x:c r="I80" s="14" t="str">
        <x:v>Updated Due Date</x:v>
      </x:c>
    </x:row>
    <x:row r="81">
      <x:c r="A81" s="14" t="str">
        <x:v>N00080</x:v>
      </x:c>
      <x:c r="B81" s="14" t="str">
        <x:v>P00074</x:v>
      </x:c>
      <x:c r="C81" s="14" t="str">
        <x:v>E009</x:v>
      </x:c>
      <x:c r="D81" s="14" t="str">
        <x:v>Escalation</x:v>
      </x:c>
      <x:c r="E81" s="14" t="str">
        <x:v>In-App</x:v>
      </x:c>
      <x:c r="F81" s="16" t="str">
        <x:v>2026-02-23 15:00:00</x:v>
      </x:c>
      <x:c r="G81" s="16" t="str">
        <x:v>2026-02-23 15:09:00</x:v>
      </x:c>
      <x:c r="H81" s="14" t="str">
        <x:v>Failed</x:v>
      </x:c>
      <x:c r="I81" s="14" t="str">
        <x:v>Updated Due Date</x:v>
      </x:c>
    </x:row>
  </x:sheetData>
  <x:pageMargins left="0.7" right="0.7" top="0.75" bottom="0.75" header="0.3" footer="0.3"/>
  <x:tableParts count="1">
    <x:tablePart xmlns:r="http://schemas.openxmlformats.org/officeDocument/2006/relationships" r:id="R7bd6ff3ebc504ec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8" customHeight="1">
      <x:c r="A1" s="6" t="str">
        <x:v>priority</x:v>
      </x:c>
      <x:c r="B1" s="6" t="str">
        <x:v>target_hours</x:v>
      </x:c>
      <x:c r="C1" s="6" t="str">
        <x:v>warning_hours</x:v>
      </x:c>
      <x:c r="D1" s="6" t="str">
        <x:v>escalation_level</x:v>
      </x:c>
    </x:row>
    <x:row r="2">
      <x:c r="A2" s="14" t="str">
        <x:v>Low</x:v>
      </x:c>
      <x:c r="B2" s="14" t="n">
        <x:v>168</x:v>
      </x:c>
      <x:c r="C2" s="14" t="n">
        <x:v>120</x:v>
      </x:c>
      <x:c r="D2" s="14" t="n">
        <x:v>1</x:v>
      </x:c>
    </x:row>
    <x:row r="3">
      <x:c r="A3" s="14" t="str">
        <x:v>Medium</x:v>
      </x:c>
      <x:c r="B3" s="14" t="n">
        <x:v>96</x:v>
      </x:c>
      <x:c r="C3" s="14" t="n">
        <x:v>72</x:v>
      </x:c>
      <x:c r="D3" s="14" t="n">
        <x:v>1</x:v>
      </x:c>
    </x:row>
    <x:row r="4">
      <x:c r="A4" s="14" t="str">
        <x:v>High</x:v>
      </x:c>
      <x:c r="B4" s="14" t="n">
        <x:v>48</x:v>
      </x:c>
      <x:c r="C4" s="14" t="n">
        <x:v>24</x:v>
      </x:c>
      <x:c r="D4" s="14" t="n">
        <x:v>2</x:v>
      </x:c>
    </x:row>
    <x:row r="5">
      <x:c r="A5" s="14" t="str">
        <x:v>Critical</x:v>
      </x:c>
      <x:c r="B5" s="14" t="n">
        <x:v>24</x:v>
      </x:c>
      <x:c r="C5" s="14" t="n">
        <x:v>8</x:v>
      </x:c>
      <x:c r="D5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fedc10114294cb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28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6" t="str">
        <x:v>date_key</x:v>
      </x:c>
      <x:c r="B1" s="6" t="str">
        <x:v>calendar_date</x:v>
      </x:c>
      <x:c r="C1" s="6" t="str">
        <x:v>day_name</x:v>
      </x:c>
      <x:c r="D1" s="6" t="str">
        <x:v>week_of_year</x:v>
      </x:c>
      <x:c r="E1" s="6" t="str">
        <x:v>month_name</x:v>
      </x:c>
      <x:c r="F1" s="6" t="str">
        <x:v>month_number</x:v>
      </x:c>
      <x:c r="G1" s="6" t="str">
        <x:v>quarter</x:v>
      </x:c>
      <x:c r="H1" s="6" t="str">
        <x:v>year</x:v>
      </x:c>
      <x:c r="I1" s="6" t="str">
        <x:v>is_business_day</x:v>
      </x:c>
    </x:row>
    <x:row r="2">
      <x:c r="A2" s="14" t="n">
        <x:v>20260101</x:v>
      </x:c>
      <x:c r="B2" s="20" t="str">
        <x:v>2026-01-01</x:v>
      </x:c>
      <x:c r="C2" s="14" t="str">
        <x:v>Thursday</x:v>
      </x:c>
      <x:c r="D2" s="14" t="n">
        <x:v>1</x:v>
      </x:c>
      <x:c r="E2" s="14" t="str">
        <x:v>January</x:v>
      </x:c>
      <x:c r="F2" s="14" t="n">
        <x:v>1</x:v>
      </x:c>
      <x:c r="G2" s="14" t="str">
        <x:v>Q1</x:v>
      </x:c>
      <x:c r="H2" s="14" t="n">
        <x:v>2026</x:v>
      </x:c>
      <x:c r="I2" s="14" t="n">
        <x:v>1</x:v>
      </x:c>
    </x:row>
    <x:row r="3">
      <x:c r="A3" s="14" t="n">
        <x:v>20260102</x:v>
      </x:c>
      <x:c r="B3" s="20" t="str">
        <x:v>2026-01-02</x:v>
      </x:c>
      <x:c r="C3" s="14" t="str">
        <x:v>Friday</x:v>
      </x:c>
      <x:c r="D3" s="14" t="n">
        <x:v>1</x:v>
      </x:c>
      <x:c r="E3" s="14" t="str">
        <x:v>January</x:v>
      </x:c>
      <x:c r="F3" s="14" t="n">
        <x:v>1</x:v>
      </x:c>
      <x:c r="G3" s="14" t="str">
        <x:v>Q1</x:v>
      </x:c>
      <x:c r="H3" s="14" t="n">
        <x:v>2026</x:v>
      </x:c>
      <x:c r="I3" s="14" t="n">
        <x:v>1</x:v>
      </x:c>
    </x:row>
    <x:row r="4">
      <x:c r="A4" s="14" t="n">
        <x:v>20260103</x:v>
      </x:c>
      <x:c r="B4" s="20" t="str">
        <x:v>2026-01-03</x:v>
      </x:c>
      <x:c r="C4" s="14" t="str">
        <x:v>Saturday</x:v>
      </x:c>
      <x:c r="D4" s="14" t="n">
        <x:v>1</x:v>
      </x:c>
      <x:c r="E4" s="14" t="str">
        <x:v>January</x:v>
      </x:c>
      <x:c r="F4" s="14" t="n">
        <x:v>1</x:v>
      </x:c>
      <x:c r="G4" s="14" t="str">
        <x:v>Q1</x:v>
      </x:c>
      <x:c r="H4" s="14" t="n">
        <x:v>2026</x:v>
      </x:c>
      <x:c r="I4" s="14" t="n">
        <x:v>0</x:v>
      </x:c>
    </x:row>
    <x:row r="5">
      <x:c r="A5" s="14" t="n">
        <x:v>20260104</x:v>
      </x:c>
      <x:c r="B5" s="20" t="str">
        <x:v>2026-01-04</x:v>
      </x:c>
      <x:c r="C5" s="14" t="str">
        <x:v>Sunday</x:v>
      </x:c>
      <x:c r="D5" s="14" t="n">
        <x:v>1</x:v>
      </x:c>
      <x:c r="E5" s="14" t="str">
        <x:v>January</x:v>
      </x:c>
      <x:c r="F5" s="14" t="n">
        <x:v>1</x:v>
      </x:c>
      <x:c r="G5" s="14" t="str">
        <x:v>Q1</x:v>
      </x:c>
      <x:c r="H5" s="14" t="n">
        <x:v>2026</x:v>
      </x:c>
      <x:c r="I5" s="14" t="n">
        <x:v>0</x:v>
      </x:c>
    </x:row>
    <x:row r="6">
      <x:c r="A6" s="14" t="n">
        <x:v>20260105</x:v>
      </x:c>
      <x:c r="B6" s="20" t="str">
        <x:v>2026-01-05</x:v>
      </x:c>
      <x:c r="C6" s="14" t="str">
        <x:v>Monday</x:v>
      </x:c>
      <x:c r="D6" s="14" t="n">
        <x:v>2</x:v>
      </x:c>
      <x:c r="E6" s="14" t="str">
        <x:v>January</x:v>
      </x:c>
      <x:c r="F6" s="14" t="n">
        <x:v>1</x:v>
      </x:c>
      <x:c r="G6" s="14" t="str">
        <x:v>Q1</x:v>
      </x:c>
      <x:c r="H6" s="14" t="n">
        <x:v>2026</x:v>
      </x:c>
      <x:c r="I6" s="14" t="n">
        <x:v>1</x:v>
      </x:c>
    </x:row>
    <x:row r="7">
      <x:c r="A7" s="14" t="n">
        <x:v>20260106</x:v>
      </x:c>
      <x:c r="B7" s="20" t="str">
        <x:v>2026-01-06</x:v>
      </x:c>
      <x:c r="C7" s="14" t="str">
        <x:v>Tuesday</x:v>
      </x:c>
      <x:c r="D7" s="14" t="n">
        <x:v>2</x:v>
      </x:c>
      <x:c r="E7" s="14" t="str">
        <x:v>January</x:v>
      </x:c>
      <x:c r="F7" s="14" t="n">
        <x:v>1</x:v>
      </x:c>
      <x:c r="G7" s="14" t="str">
        <x:v>Q1</x:v>
      </x:c>
      <x:c r="H7" s="14" t="n">
        <x:v>2026</x:v>
      </x:c>
      <x:c r="I7" s="14" t="n">
        <x:v>1</x:v>
      </x:c>
    </x:row>
    <x:row r="8">
      <x:c r="A8" s="14" t="n">
        <x:v>20260107</x:v>
      </x:c>
      <x:c r="B8" s="20" t="str">
        <x:v>2026-01-07</x:v>
      </x:c>
      <x:c r="C8" s="14" t="str">
        <x:v>Wednesday</x:v>
      </x:c>
      <x:c r="D8" s="14" t="n">
        <x:v>2</x:v>
      </x:c>
      <x:c r="E8" s="14" t="str">
        <x:v>January</x:v>
      </x:c>
      <x:c r="F8" s="14" t="n">
        <x:v>1</x:v>
      </x:c>
      <x:c r="G8" s="14" t="str">
        <x:v>Q1</x:v>
      </x:c>
      <x:c r="H8" s="14" t="n">
        <x:v>2026</x:v>
      </x:c>
      <x:c r="I8" s="14" t="n">
        <x:v>1</x:v>
      </x:c>
    </x:row>
    <x:row r="9">
      <x:c r="A9" s="14" t="n">
        <x:v>20260108</x:v>
      </x:c>
      <x:c r="B9" s="20" t="str">
        <x:v>2026-01-08</x:v>
      </x:c>
      <x:c r="C9" s="14" t="str">
        <x:v>Thursday</x:v>
      </x:c>
      <x:c r="D9" s="14" t="n">
        <x:v>2</x:v>
      </x:c>
      <x:c r="E9" s="14" t="str">
        <x:v>January</x:v>
      </x:c>
      <x:c r="F9" s="14" t="n">
        <x:v>1</x:v>
      </x:c>
      <x:c r="G9" s="14" t="str">
        <x:v>Q1</x:v>
      </x:c>
      <x:c r="H9" s="14" t="n">
        <x:v>2026</x:v>
      </x:c>
      <x:c r="I9" s="14" t="n">
        <x:v>1</x:v>
      </x:c>
    </x:row>
    <x:row r="10">
      <x:c r="A10" s="14" t="n">
        <x:v>20260109</x:v>
      </x:c>
      <x:c r="B10" s="20" t="str">
        <x:v>2026-01-09</x:v>
      </x:c>
      <x:c r="C10" s="14" t="str">
        <x:v>Friday</x:v>
      </x:c>
      <x:c r="D10" s="14" t="n">
        <x:v>2</x:v>
      </x:c>
      <x:c r="E10" s="14" t="str">
        <x:v>January</x:v>
      </x:c>
      <x:c r="F10" s="14" t="n">
        <x:v>1</x:v>
      </x:c>
      <x:c r="G10" s="14" t="str">
        <x:v>Q1</x:v>
      </x:c>
      <x:c r="H10" s="14" t="n">
        <x:v>2026</x:v>
      </x:c>
      <x:c r="I10" s="14" t="n">
        <x:v>1</x:v>
      </x:c>
    </x:row>
    <x:row r="11">
      <x:c r="A11" s="14" t="n">
        <x:v>20260110</x:v>
      </x:c>
      <x:c r="B11" s="20" t="str">
        <x:v>2026-01-10</x:v>
      </x:c>
      <x:c r="C11" s="14" t="str">
        <x:v>Saturday</x:v>
      </x:c>
      <x:c r="D11" s="14" t="n">
        <x:v>2</x:v>
      </x:c>
      <x:c r="E11" s="14" t="str">
        <x:v>January</x:v>
      </x:c>
      <x:c r="F11" s="14" t="n">
        <x:v>1</x:v>
      </x:c>
      <x:c r="G11" s="14" t="str">
        <x:v>Q1</x:v>
      </x:c>
      <x:c r="H11" s="14" t="n">
        <x:v>2026</x:v>
      </x:c>
      <x:c r="I11" s="14" t="n">
        <x:v>0</x:v>
      </x:c>
    </x:row>
    <x:row r="12">
      <x:c r="A12" s="14" t="n">
        <x:v>20260111</x:v>
      </x:c>
      <x:c r="B12" s="20" t="str">
        <x:v>2026-01-11</x:v>
      </x:c>
      <x:c r="C12" s="14" t="str">
        <x:v>Sunday</x:v>
      </x:c>
      <x:c r="D12" s="14" t="n">
        <x:v>2</x:v>
      </x:c>
      <x:c r="E12" s="14" t="str">
        <x:v>January</x:v>
      </x:c>
      <x:c r="F12" s="14" t="n">
        <x:v>1</x:v>
      </x:c>
      <x:c r="G12" s="14" t="str">
        <x:v>Q1</x:v>
      </x:c>
      <x:c r="H12" s="14" t="n">
        <x:v>2026</x:v>
      </x:c>
      <x:c r="I12" s="14" t="n">
        <x:v>0</x:v>
      </x:c>
    </x:row>
    <x:row r="13">
      <x:c r="A13" s="14" t="n">
        <x:v>20260112</x:v>
      </x:c>
      <x:c r="B13" s="20" t="str">
        <x:v>2026-01-12</x:v>
      </x:c>
      <x:c r="C13" s="14" t="str">
        <x:v>Monday</x:v>
      </x:c>
      <x:c r="D13" s="14" t="n">
        <x:v>3</x:v>
      </x:c>
      <x:c r="E13" s="14" t="str">
        <x:v>January</x:v>
      </x:c>
      <x:c r="F13" s="14" t="n">
        <x:v>1</x:v>
      </x:c>
      <x:c r="G13" s="14" t="str">
        <x:v>Q1</x:v>
      </x:c>
      <x:c r="H13" s="14" t="n">
        <x:v>2026</x:v>
      </x:c>
      <x:c r="I13" s="14" t="n">
        <x:v>1</x:v>
      </x:c>
    </x:row>
    <x:row r="14">
      <x:c r="A14" s="14" t="n">
        <x:v>20260113</x:v>
      </x:c>
      <x:c r="B14" s="20" t="str">
        <x:v>2026-01-13</x:v>
      </x:c>
      <x:c r="C14" s="14" t="str">
        <x:v>Tuesday</x:v>
      </x:c>
      <x:c r="D14" s="14" t="n">
        <x:v>3</x:v>
      </x:c>
      <x:c r="E14" s="14" t="str">
        <x:v>January</x:v>
      </x:c>
      <x:c r="F14" s="14" t="n">
        <x:v>1</x:v>
      </x:c>
      <x:c r="G14" s="14" t="str">
        <x:v>Q1</x:v>
      </x:c>
      <x:c r="H14" s="14" t="n">
        <x:v>2026</x:v>
      </x:c>
      <x:c r="I14" s="14" t="n">
        <x:v>1</x:v>
      </x:c>
    </x:row>
    <x:row r="15">
      <x:c r="A15" s="14" t="n">
        <x:v>20260114</x:v>
      </x:c>
      <x:c r="B15" s="20" t="str">
        <x:v>2026-01-14</x:v>
      </x:c>
      <x:c r="C15" s="14" t="str">
        <x:v>Wednesday</x:v>
      </x:c>
      <x:c r="D15" s="14" t="n">
        <x:v>3</x:v>
      </x:c>
      <x:c r="E15" s="14" t="str">
        <x:v>January</x:v>
      </x:c>
      <x:c r="F15" s="14" t="n">
        <x:v>1</x:v>
      </x:c>
      <x:c r="G15" s="14" t="str">
        <x:v>Q1</x:v>
      </x:c>
      <x:c r="H15" s="14" t="n">
        <x:v>2026</x:v>
      </x:c>
      <x:c r="I15" s="14" t="n">
        <x:v>1</x:v>
      </x:c>
    </x:row>
    <x:row r="16">
      <x:c r="A16" s="14" t="n">
        <x:v>20260115</x:v>
      </x:c>
      <x:c r="B16" s="20" t="str">
        <x:v>2026-01-15</x:v>
      </x:c>
      <x:c r="C16" s="14" t="str">
        <x:v>Thursday</x:v>
      </x:c>
      <x:c r="D16" s="14" t="n">
        <x:v>3</x:v>
      </x:c>
      <x:c r="E16" s="14" t="str">
        <x:v>January</x:v>
      </x:c>
      <x:c r="F16" s="14" t="n">
        <x:v>1</x:v>
      </x:c>
      <x:c r="G16" s="14" t="str">
        <x:v>Q1</x:v>
      </x:c>
      <x:c r="H16" s="14" t="n">
        <x:v>2026</x:v>
      </x:c>
      <x:c r="I16" s="14" t="n">
        <x:v>1</x:v>
      </x:c>
    </x:row>
    <x:row r="17">
      <x:c r="A17" s="14" t="n">
        <x:v>20260116</x:v>
      </x:c>
      <x:c r="B17" s="20" t="str">
        <x:v>2026-01-16</x:v>
      </x:c>
      <x:c r="C17" s="14" t="str">
        <x:v>Friday</x:v>
      </x:c>
      <x:c r="D17" s="14" t="n">
        <x:v>3</x:v>
      </x:c>
      <x:c r="E17" s="14" t="str">
        <x:v>January</x:v>
      </x:c>
      <x:c r="F17" s="14" t="n">
        <x:v>1</x:v>
      </x:c>
      <x:c r="G17" s="14" t="str">
        <x:v>Q1</x:v>
      </x:c>
      <x:c r="H17" s="14" t="n">
        <x:v>2026</x:v>
      </x:c>
      <x:c r="I17" s="14" t="n">
        <x:v>1</x:v>
      </x:c>
    </x:row>
    <x:row r="18">
      <x:c r="A18" s="14" t="n">
        <x:v>20260117</x:v>
      </x:c>
      <x:c r="B18" s="20" t="str">
        <x:v>2026-01-17</x:v>
      </x:c>
      <x:c r="C18" s="14" t="str">
        <x:v>Saturday</x:v>
      </x:c>
      <x:c r="D18" s="14" t="n">
        <x:v>3</x:v>
      </x:c>
      <x:c r="E18" s="14" t="str">
        <x:v>January</x:v>
      </x:c>
      <x:c r="F18" s="14" t="n">
        <x:v>1</x:v>
      </x:c>
      <x:c r="G18" s="14" t="str">
        <x:v>Q1</x:v>
      </x:c>
      <x:c r="H18" s="14" t="n">
        <x:v>2026</x:v>
      </x:c>
      <x:c r="I18" s="14" t="n">
        <x:v>0</x:v>
      </x:c>
    </x:row>
    <x:row r="19">
      <x:c r="A19" s="14" t="n">
        <x:v>20260118</x:v>
      </x:c>
      <x:c r="B19" s="20" t="str">
        <x:v>2026-01-18</x:v>
      </x:c>
      <x:c r="C19" s="14" t="str">
        <x:v>Sunday</x:v>
      </x:c>
      <x:c r="D19" s="14" t="n">
        <x:v>3</x:v>
      </x:c>
      <x:c r="E19" s="14" t="str">
        <x:v>January</x:v>
      </x:c>
      <x:c r="F19" s="14" t="n">
        <x:v>1</x:v>
      </x:c>
      <x:c r="G19" s="14" t="str">
        <x:v>Q1</x:v>
      </x:c>
      <x:c r="H19" s="14" t="n">
        <x:v>2026</x:v>
      </x:c>
      <x:c r="I19" s="14" t="n">
        <x:v>0</x:v>
      </x:c>
    </x:row>
    <x:row r="20">
      <x:c r="A20" s="14" t="n">
        <x:v>20260119</x:v>
      </x:c>
      <x:c r="B20" s="20" t="str">
        <x:v>2026-01-19</x:v>
      </x:c>
      <x:c r="C20" s="14" t="str">
        <x:v>Monday</x:v>
      </x:c>
      <x:c r="D20" s="14" t="n">
        <x:v>4</x:v>
      </x:c>
      <x:c r="E20" s="14" t="str">
        <x:v>January</x:v>
      </x:c>
      <x:c r="F20" s="14" t="n">
        <x:v>1</x:v>
      </x:c>
      <x:c r="G20" s="14" t="str">
        <x:v>Q1</x:v>
      </x:c>
      <x:c r="H20" s="14" t="n">
        <x:v>2026</x:v>
      </x:c>
      <x:c r="I20" s="14" t="n">
        <x:v>1</x:v>
      </x:c>
    </x:row>
    <x:row r="21">
      <x:c r="A21" s="14" t="n">
        <x:v>20260120</x:v>
      </x:c>
      <x:c r="B21" s="20" t="str">
        <x:v>2026-01-20</x:v>
      </x:c>
      <x:c r="C21" s="14" t="str">
        <x:v>Tuesday</x:v>
      </x:c>
      <x:c r="D21" s="14" t="n">
        <x:v>4</x:v>
      </x:c>
      <x:c r="E21" s="14" t="str">
        <x:v>January</x:v>
      </x:c>
      <x:c r="F21" s="14" t="n">
        <x:v>1</x:v>
      </x:c>
      <x:c r="G21" s="14" t="str">
        <x:v>Q1</x:v>
      </x:c>
      <x:c r="H21" s="14" t="n">
        <x:v>2026</x:v>
      </x:c>
      <x:c r="I21" s="14" t="n">
        <x:v>1</x:v>
      </x:c>
    </x:row>
    <x:row r="22">
      <x:c r="A22" s="14" t="n">
        <x:v>20260121</x:v>
      </x:c>
      <x:c r="B22" s="20" t="str">
        <x:v>2026-01-21</x:v>
      </x:c>
      <x:c r="C22" s="14" t="str">
        <x:v>Wednesday</x:v>
      </x:c>
      <x:c r="D22" s="14" t="n">
        <x:v>4</x:v>
      </x:c>
      <x:c r="E22" s="14" t="str">
        <x:v>January</x:v>
      </x:c>
      <x:c r="F22" s="14" t="n">
        <x:v>1</x:v>
      </x:c>
      <x:c r="G22" s="14" t="str">
        <x:v>Q1</x:v>
      </x:c>
      <x:c r="H22" s="14" t="n">
        <x:v>2026</x:v>
      </x:c>
      <x:c r="I22" s="14" t="n">
        <x:v>1</x:v>
      </x:c>
    </x:row>
    <x:row r="23">
      <x:c r="A23" s="14" t="n">
        <x:v>20260122</x:v>
      </x:c>
      <x:c r="B23" s="20" t="str">
        <x:v>2026-01-22</x:v>
      </x:c>
      <x:c r="C23" s="14" t="str">
        <x:v>Thursday</x:v>
      </x:c>
      <x:c r="D23" s="14" t="n">
        <x:v>4</x:v>
      </x:c>
      <x:c r="E23" s="14" t="str">
        <x:v>January</x:v>
      </x:c>
      <x:c r="F23" s="14" t="n">
        <x:v>1</x:v>
      </x:c>
      <x:c r="G23" s="14" t="str">
        <x:v>Q1</x:v>
      </x:c>
      <x:c r="H23" s="14" t="n">
        <x:v>2026</x:v>
      </x:c>
      <x:c r="I23" s="14" t="n">
        <x:v>1</x:v>
      </x:c>
    </x:row>
    <x:row r="24">
      <x:c r="A24" s="14" t="n">
        <x:v>20260123</x:v>
      </x:c>
      <x:c r="B24" s="20" t="str">
        <x:v>2026-01-23</x:v>
      </x:c>
      <x:c r="C24" s="14" t="str">
        <x:v>Friday</x:v>
      </x:c>
      <x:c r="D24" s="14" t="n">
        <x:v>4</x:v>
      </x:c>
      <x:c r="E24" s="14" t="str">
        <x:v>January</x:v>
      </x:c>
      <x:c r="F24" s="14" t="n">
        <x:v>1</x:v>
      </x:c>
      <x:c r="G24" s="14" t="str">
        <x:v>Q1</x:v>
      </x:c>
      <x:c r="H24" s="14" t="n">
        <x:v>2026</x:v>
      </x:c>
      <x:c r="I24" s="14" t="n">
        <x:v>1</x:v>
      </x:c>
    </x:row>
    <x:row r="25">
      <x:c r="A25" s="14" t="n">
        <x:v>20260124</x:v>
      </x:c>
      <x:c r="B25" s="20" t="str">
        <x:v>2026-01-24</x:v>
      </x:c>
      <x:c r="C25" s="14" t="str">
        <x:v>Saturday</x:v>
      </x:c>
      <x:c r="D25" s="14" t="n">
        <x:v>4</x:v>
      </x:c>
      <x:c r="E25" s="14" t="str">
        <x:v>January</x:v>
      </x:c>
      <x:c r="F25" s="14" t="n">
        <x:v>1</x:v>
      </x:c>
      <x:c r="G25" s="14" t="str">
        <x:v>Q1</x:v>
      </x:c>
      <x:c r="H25" s="14" t="n">
        <x:v>2026</x:v>
      </x:c>
      <x:c r="I25" s="14" t="n">
        <x:v>0</x:v>
      </x:c>
    </x:row>
    <x:row r="26">
      <x:c r="A26" s="14" t="n">
        <x:v>20260125</x:v>
      </x:c>
      <x:c r="B26" s="20" t="str">
        <x:v>2026-01-25</x:v>
      </x:c>
      <x:c r="C26" s="14" t="str">
        <x:v>Sunday</x:v>
      </x:c>
      <x:c r="D26" s="14" t="n">
        <x:v>4</x:v>
      </x:c>
      <x:c r="E26" s="14" t="str">
        <x:v>January</x:v>
      </x:c>
      <x:c r="F26" s="14" t="n">
        <x:v>1</x:v>
      </x:c>
      <x:c r="G26" s="14" t="str">
        <x:v>Q1</x:v>
      </x:c>
      <x:c r="H26" s="14" t="n">
        <x:v>2026</x:v>
      </x:c>
      <x:c r="I26" s="14" t="n">
        <x:v>0</x:v>
      </x:c>
    </x:row>
    <x:row r="27">
      <x:c r="A27" s="14" t="n">
        <x:v>20260126</x:v>
      </x:c>
      <x:c r="B27" s="20" t="str">
        <x:v>2026-01-26</x:v>
      </x:c>
      <x:c r="C27" s="14" t="str">
        <x:v>Monday</x:v>
      </x:c>
      <x:c r="D27" s="14" t="n">
        <x:v>5</x:v>
      </x:c>
      <x:c r="E27" s="14" t="str">
        <x:v>January</x:v>
      </x:c>
      <x:c r="F27" s="14" t="n">
        <x:v>1</x:v>
      </x:c>
      <x:c r="G27" s="14" t="str">
        <x:v>Q1</x:v>
      </x:c>
      <x:c r="H27" s="14" t="n">
        <x:v>2026</x:v>
      </x:c>
      <x:c r="I27" s="14" t="n">
        <x:v>1</x:v>
      </x:c>
    </x:row>
    <x:row r="28">
      <x:c r="A28" s="14" t="n">
        <x:v>20260127</x:v>
      </x:c>
      <x:c r="B28" s="20" t="str">
        <x:v>2026-01-27</x:v>
      </x:c>
      <x:c r="C28" s="14" t="str">
        <x:v>Tuesday</x:v>
      </x:c>
      <x:c r="D28" s="14" t="n">
        <x:v>5</x:v>
      </x:c>
      <x:c r="E28" s="14" t="str">
        <x:v>January</x:v>
      </x:c>
      <x:c r="F28" s="14" t="n">
        <x:v>1</x:v>
      </x:c>
      <x:c r="G28" s="14" t="str">
        <x:v>Q1</x:v>
      </x:c>
      <x:c r="H28" s="14" t="n">
        <x:v>2026</x:v>
      </x:c>
      <x:c r="I28" s="14" t="n">
        <x:v>1</x:v>
      </x:c>
    </x:row>
    <x:row r="29">
      <x:c r="A29" s="14" t="n">
        <x:v>20260128</x:v>
      </x:c>
      <x:c r="B29" s="20" t="str">
        <x:v>2026-01-28</x:v>
      </x:c>
      <x:c r="C29" s="14" t="str">
        <x:v>Wednesday</x:v>
      </x:c>
      <x:c r="D29" s="14" t="n">
        <x:v>5</x:v>
      </x:c>
      <x:c r="E29" s="14" t="str">
        <x:v>January</x:v>
      </x:c>
      <x:c r="F29" s="14" t="n">
        <x:v>1</x:v>
      </x:c>
      <x:c r="G29" s="14" t="str">
        <x:v>Q1</x:v>
      </x:c>
      <x:c r="H29" s="14" t="n">
        <x:v>2026</x:v>
      </x:c>
      <x:c r="I29" s="14" t="n">
        <x:v>1</x:v>
      </x:c>
    </x:row>
    <x:row r="30">
      <x:c r="A30" s="14" t="n">
        <x:v>20260129</x:v>
      </x:c>
      <x:c r="B30" s="20" t="str">
        <x:v>2026-01-29</x:v>
      </x:c>
      <x:c r="C30" s="14" t="str">
        <x:v>Thursday</x:v>
      </x:c>
      <x:c r="D30" s="14" t="n">
        <x:v>5</x:v>
      </x:c>
      <x:c r="E30" s="14" t="str">
        <x:v>January</x:v>
      </x:c>
      <x:c r="F30" s="14" t="n">
        <x:v>1</x:v>
      </x:c>
      <x:c r="G30" s="14" t="str">
        <x:v>Q1</x:v>
      </x:c>
      <x:c r="H30" s="14" t="n">
        <x:v>2026</x:v>
      </x:c>
      <x:c r="I30" s="14" t="n">
        <x:v>1</x:v>
      </x:c>
    </x:row>
    <x:row r="31">
      <x:c r="A31" s="14" t="n">
        <x:v>20260130</x:v>
      </x:c>
      <x:c r="B31" s="20" t="str">
        <x:v>2026-01-30</x:v>
      </x:c>
      <x:c r="C31" s="14" t="str">
        <x:v>Friday</x:v>
      </x:c>
      <x:c r="D31" s="14" t="n">
        <x:v>5</x:v>
      </x:c>
      <x:c r="E31" s="14" t="str">
        <x:v>January</x:v>
      </x:c>
      <x:c r="F31" s="14" t="n">
        <x:v>1</x:v>
      </x:c>
      <x:c r="G31" s="14" t="str">
        <x:v>Q1</x:v>
      </x:c>
      <x:c r="H31" s="14" t="n">
        <x:v>2026</x:v>
      </x:c>
      <x:c r="I31" s="14" t="n">
        <x:v>1</x:v>
      </x:c>
    </x:row>
    <x:row r="32">
      <x:c r="A32" s="14" t="n">
        <x:v>20260131</x:v>
      </x:c>
      <x:c r="B32" s="20" t="str">
        <x:v>2026-01-31</x:v>
      </x:c>
      <x:c r="C32" s="14" t="str">
        <x:v>Saturday</x:v>
      </x:c>
      <x:c r="D32" s="14" t="n">
        <x:v>5</x:v>
      </x:c>
      <x:c r="E32" s="14" t="str">
        <x:v>January</x:v>
      </x:c>
      <x:c r="F32" s="14" t="n">
        <x:v>1</x:v>
      </x:c>
      <x:c r="G32" s="14" t="str">
        <x:v>Q1</x:v>
      </x:c>
      <x:c r="H32" s="14" t="n">
        <x:v>2026</x:v>
      </x:c>
      <x:c r="I32" s="14" t="n">
        <x:v>0</x:v>
      </x:c>
    </x:row>
    <x:row r="33">
      <x:c r="A33" s="14" t="n">
        <x:v>20260201</x:v>
      </x:c>
      <x:c r="B33" s="20" t="str">
        <x:v>2026-02-01</x:v>
      </x:c>
      <x:c r="C33" s="14" t="str">
        <x:v>Sunday</x:v>
      </x:c>
      <x:c r="D33" s="14" t="n">
        <x:v>5</x:v>
      </x:c>
      <x:c r="E33" s="14" t="str">
        <x:v>February</x:v>
      </x:c>
      <x:c r="F33" s="14" t="n">
        <x:v>2</x:v>
      </x:c>
      <x:c r="G33" s="14" t="str">
        <x:v>Q1</x:v>
      </x:c>
      <x:c r="H33" s="14" t="n">
        <x:v>2026</x:v>
      </x:c>
      <x:c r="I33" s="14" t="n">
        <x:v>0</x:v>
      </x:c>
    </x:row>
    <x:row r="34">
      <x:c r="A34" s="14" t="n">
        <x:v>20260202</x:v>
      </x:c>
      <x:c r="B34" s="20" t="str">
        <x:v>2026-02-02</x:v>
      </x:c>
      <x:c r="C34" s="14" t="str">
        <x:v>Monday</x:v>
      </x:c>
      <x:c r="D34" s="14" t="n">
        <x:v>6</x:v>
      </x:c>
      <x:c r="E34" s="14" t="str">
        <x:v>February</x:v>
      </x:c>
      <x:c r="F34" s="14" t="n">
        <x:v>2</x:v>
      </x:c>
      <x:c r="G34" s="14" t="str">
        <x:v>Q1</x:v>
      </x:c>
      <x:c r="H34" s="14" t="n">
        <x:v>2026</x:v>
      </x:c>
      <x:c r="I34" s="14" t="n">
        <x:v>1</x:v>
      </x:c>
    </x:row>
    <x:row r="35">
      <x:c r="A35" s="14" t="n">
        <x:v>20260203</x:v>
      </x:c>
      <x:c r="B35" s="20" t="str">
        <x:v>2026-02-03</x:v>
      </x:c>
      <x:c r="C35" s="14" t="str">
        <x:v>Tuesday</x:v>
      </x:c>
      <x:c r="D35" s="14" t="n">
        <x:v>6</x:v>
      </x:c>
      <x:c r="E35" s="14" t="str">
        <x:v>February</x:v>
      </x:c>
      <x:c r="F35" s="14" t="n">
        <x:v>2</x:v>
      </x:c>
      <x:c r="G35" s="14" t="str">
        <x:v>Q1</x:v>
      </x:c>
      <x:c r="H35" s="14" t="n">
        <x:v>2026</x:v>
      </x:c>
      <x:c r="I35" s="14" t="n">
        <x:v>1</x:v>
      </x:c>
    </x:row>
    <x:row r="36">
      <x:c r="A36" s="14" t="n">
        <x:v>20260204</x:v>
      </x:c>
      <x:c r="B36" s="20" t="str">
        <x:v>2026-02-04</x:v>
      </x:c>
      <x:c r="C36" s="14" t="str">
        <x:v>Wednesday</x:v>
      </x:c>
      <x:c r="D36" s="14" t="n">
        <x:v>6</x:v>
      </x:c>
      <x:c r="E36" s="14" t="str">
        <x:v>February</x:v>
      </x:c>
      <x:c r="F36" s="14" t="n">
        <x:v>2</x:v>
      </x:c>
      <x:c r="G36" s="14" t="str">
        <x:v>Q1</x:v>
      </x:c>
      <x:c r="H36" s="14" t="n">
        <x:v>2026</x:v>
      </x:c>
      <x:c r="I36" s="14" t="n">
        <x:v>1</x:v>
      </x:c>
    </x:row>
    <x:row r="37">
      <x:c r="A37" s="14" t="n">
        <x:v>20260205</x:v>
      </x:c>
      <x:c r="B37" s="20" t="str">
        <x:v>2026-02-05</x:v>
      </x:c>
      <x:c r="C37" s="14" t="str">
        <x:v>Thursday</x:v>
      </x:c>
      <x:c r="D37" s="14" t="n">
        <x:v>6</x:v>
      </x:c>
      <x:c r="E37" s="14" t="str">
        <x:v>February</x:v>
      </x:c>
      <x:c r="F37" s="14" t="n">
        <x:v>2</x:v>
      </x:c>
      <x:c r="G37" s="14" t="str">
        <x:v>Q1</x:v>
      </x:c>
      <x:c r="H37" s="14" t="n">
        <x:v>2026</x:v>
      </x:c>
      <x:c r="I37" s="14" t="n">
        <x:v>1</x:v>
      </x:c>
    </x:row>
    <x:row r="38">
      <x:c r="A38" s="14" t="n">
        <x:v>20260206</x:v>
      </x:c>
      <x:c r="B38" s="20" t="str">
        <x:v>2026-02-06</x:v>
      </x:c>
      <x:c r="C38" s="14" t="str">
        <x:v>Friday</x:v>
      </x:c>
      <x:c r="D38" s="14" t="n">
        <x:v>6</x:v>
      </x:c>
      <x:c r="E38" s="14" t="str">
        <x:v>February</x:v>
      </x:c>
      <x:c r="F38" s="14" t="n">
        <x:v>2</x:v>
      </x:c>
      <x:c r="G38" s="14" t="str">
        <x:v>Q1</x:v>
      </x:c>
      <x:c r="H38" s="14" t="n">
        <x:v>2026</x:v>
      </x:c>
      <x:c r="I38" s="14" t="n">
        <x:v>1</x:v>
      </x:c>
    </x:row>
    <x:row r="39">
      <x:c r="A39" s="14" t="n">
        <x:v>20260207</x:v>
      </x:c>
      <x:c r="B39" s="20" t="str">
        <x:v>2026-02-07</x:v>
      </x:c>
      <x:c r="C39" s="14" t="str">
        <x:v>Saturday</x:v>
      </x:c>
      <x:c r="D39" s="14" t="n">
        <x:v>6</x:v>
      </x:c>
      <x:c r="E39" s="14" t="str">
        <x:v>February</x:v>
      </x:c>
      <x:c r="F39" s="14" t="n">
        <x:v>2</x:v>
      </x:c>
      <x:c r="G39" s="14" t="str">
        <x:v>Q1</x:v>
      </x:c>
      <x:c r="H39" s="14" t="n">
        <x:v>2026</x:v>
      </x:c>
      <x:c r="I39" s="14" t="n">
        <x:v>0</x:v>
      </x:c>
    </x:row>
    <x:row r="40">
      <x:c r="A40" s="14" t="n">
        <x:v>20260208</x:v>
      </x:c>
      <x:c r="B40" s="20" t="str">
        <x:v>2026-02-08</x:v>
      </x:c>
      <x:c r="C40" s="14" t="str">
        <x:v>Sunday</x:v>
      </x:c>
      <x:c r="D40" s="14" t="n">
        <x:v>6</x:v>
      </x:c>
      <x:c r="E40" s="14" t="str">
        <x:v>February</x:v>
      </x:c>
      <x:c r="F40" s="14" t="n">
        <x:v>2</x:v>
      </x:c>
      <x:c r="G40" s="14" t="str">
        <x:v>Q1</x:v>
      </x:c>
      <x:c r="H40" s="14" t="n">
        <x:v>2026</x:v>
      </x:c>
      <x:c r="I40" s="14" t="n">
        <x:v>0</x:v>
      </x:c>
    </x:row>
    <x:row r="41">
      <x:c r="A41" s="14" t="n">
        <x:v>20260209</x:v>
      </x:c>
      <x:c r="B41" s="20" t="str">
        <x:v>2026-02-09</x:v>
      </x:c>
      <x:c r="C41" s="14" t="str">
        <x:v>Monday</x:v>
      </x:c>
      <x:c r="D41" s="14" t="n">
        <x:v>7</x:v>
      </x:c>
      <x:c r="E41" s="14" t="str">
        <x:v>February</x:v>
      </x:c>
      <x:c r="F41" s="14" t="n">
        <x:v>2</x:v>
      </x:c>
      <x:c r="G41" s="14" t="str">
        <x:v>Q1</x:v>
      </x:c>
      <x:c r="H41" s="14" t="n">
        <x:v>2026</x:v>
      </x:c>
      <x:c r="I41" s="14" t="n">
        <x:v>1</x:v>
      </x:c>
    </x:row>
    <x:row r="42">
      <x:c r="A42" s="14" t="n">
        <x:v>20260210</x:v>
      </x:c>
      <x:c r="B42" s="20" t="str">
        <x:v>2026-02-10</x:v>
      </x:c>
      <x:c r="C42" s="14" t="str">
        <x:v>Tuesday</x:v>
      </x:c>
      <x:c r="D42" s="14" t="n">
        <x:v>7</x:v>
      </x:c>
      <x:c r="E42" s="14" t="str">
        <x:v>February</x:v>
      </x:c>
      <x:c r="F42" s="14" t="n">
        <x:v>2</x:v>
      </x:c>
      <x:c r="G42" s="14" t="str">
        <x:v>Q1</x:v>
      </x:c>
      <x:c r="H42" s="14" t="n">
        <x:v>2026</x:v>
      </x:c>
      <x:c r="I42" s="14" t="n">
        <x:v>1</x:v>
      </x:c>
    </x:row>
    <x:row r="43">
      <x:c r="A43" s="14" t="n">
        <x:v>20260211</x:v>
      </x:c>
      <x:c r="B43" s="20" t="str">
        <x:v>2026-02-11</x:v>
      </x:c>
      <x:c r="C43" s="14" t="str">
        <x:v>Wednesday</x:v>
      </x:c>
      <x:c r="D43" s="14" t="n">
        <x:v>7</x:v>
      </x:c>
      <x:c r="E43" s="14" t="str">
        <x:v>February</x:v>
      </x:c>
      <x:c r="F43" s="14" t="n">
        <x:v>2</x:v>
      </x:c>
      <x:c r="G43" s="14" t="str">
        <x:v>Q1</x:v>
      </x:c>
      <x:c r="H43" s="14" t="n">
        <x:v>2026</x:v>
      </x:c>
      <x:c r="I43" s="14" t="n">
        <x:v>1</x:v>
      </x:c>
    </x:row>
    <x:row r="44">
      <x:c r="A44" s="14" t="n">
        <x:v>20260212</x:v>
      </x:c>
      <x:c r="B44" s="20" t="str">
        <x:v>2026-02-12</x:v>
      </x:c>
      <x:c r="C44" s="14" t="str">
        <x:v>Thursday</x:v>
      </x:c>
      <x:c r="D44" s="14" t="n">
        <x:v>7</x:v>
      </x:c>
      <x:c r="E44" s="14" t="str">
        <x:v>February</x:v>
      </x:c>
      <x:c r="F44" s="14" t="n">
        <x:v>2</x:v>
      </x:c>
      <x:c r="G44" s="14" t="str">
        <x:v>Q1</x:v>
      </x:c>
      <x:c r="H44" s="14" t="n">
        <x:v>2026</x:v>
      </x:c>
      <x:c r="I44" s="14" t="n">
        <x:v>1</x:v>
      </x:c>
    </x:row>
    <x:row r="45">
      <x:c r="A45" s="14" t="n">
        <x:v>20260213</x:v>
      </x:c>
      <x:c r="B45" s="20" t="str">
        <x:v>2026-02-13</x:v>
      </x:c>
      <x:c r="C45" s="14" t="str">
        <x:v>Friday</x:v>
      </x:c>
      <x:c r="D45" s="14" t="n">
        <x:v>7</x:v>
      </x:c>
      <x:c r="E45" s="14" t="str">
        <x:v>February</x:v>
      </x:c>
      <x:c r="F45" s="14" t="n">
        <x:v>2</x:v>
      </x:c>
      <x:c r="G45" s="14" t="str">
        <x:v>Q1</x:v>
      </x:c>
      <x:c r="H45" s="14" t="n">
        <x:v>2026</x:v>
      </x:c>
      <x:c r="I45" s="14" t="n">
        <x:v>1</x:v>
      </x:c>
    </x:row>
    <x:row r="46">
      <x:c r="A46" s="14" t="n">
        <x:v>20260214</x:v>
      </x:c>
      <x:c r="B46" s="20" t="str">
        <x:v>2026-02-14</x:v>
      </x:c>
      <x:c r="C46" s="14" t="str">
        <x:v>Saturday</x:v>
      </x:c>
      <x:c r="D46" s="14" t="n">
        <x:v>7</x:v>
      </x:c>
      <x:c r="E46" s="14" t="str">
        <x:v>February</x:v>
      </x:c>
      <x:c r="F46" s="14" t="n">
        <x:v>2</x:v>
      </x:c>
      <x:c r="G46" s="14" t="str">
        <x:v>Q1</x:v>
      </x:c>
      <x:c r="H46" s="14" t="n">
        <x:v>2026</x:v>
      </x:c>
      <x:c r="I46" s="14" t="n">
        <x:v>0</x:v>
      </x:c>
    </x:row>
    <x:row r="47">
      <x:c r="A47" s="14" t="n">
        <x:v>20260215</x:v>
      </x:c>
      <x:c r="B47" s="20" t="str">
        <x:v>2026-02-15</x:v>
      </x:c>
      <x:c r="C47" s="14" t="str">
        <x:v>Sunday</x:v>
      </x:c>
      <x:c r="D47" s="14" t="n">
        <x:v>7</x:v>
      </x:c>
      <x:c r="E47" s="14" t="str">
        <x:v>February</x:v>
      </x:c>
      <x:c r="F47" s="14" t="n">
        <x:v>2</x:v>
      </x:c>
      <x:c r="G47" s="14" t="str">
        <x:v>Q1</x:v>
      </x:c>
      <x:c r="H47" s="14" t="n">
        <x:v>2026</x:v>
      </x:c>
      <x:c r="I47" s="14" t="n">
        <x:v>0</x:v>
      </x:c>
    </x:row>
    <x:row r="48">
      <x:c r="A48" s="14" t="n">
        <x:v>20260216</x:v>
      </x:c>
      <x:c r="B48" s="20" t="str">
        <x:v>2026-02-16</x:v>
      </x:c>
      <x:c r="C48" s="14" t="str">
        <x:v>Monday</x:v>
      </x:c>
      <x:c r="D48" s="14" t="n">
        <x:v>8</x:v>
      </x:c>
      <x:c r="E48" s="14" t="str">
        <x:v>February</x:v>
      </x:c>
      <x:c r="F48" s="14" t="n">
        <x:v>2</x:v>
      </x:c>
      <x:c r="G48" s="14" t="str">
        <x:v>Q1</x:v>
      </x:c>
      <x:c r="H48" s="14" t="n">
        <x:v>2026</x:v>
      </x:c>
      <x:c r="I48" s="14" t="n">
        <x:v>1</x:v>
      </x:c>
    </x:row>
    <x:row r="49">
      <x:c r="A49" s="14" t="n">
        <x:v>20260217</x:v>
      </x:c>
      <x:c r="B49" s="20" t="str">
        <x:v>2026-02-17</x:v>
      </x:c>
      <x:c r="C49" s="14" t="str">
        <x:v>Tuesday</x:v>
      </x:c>
      <x:c r="D49" s="14" t="n">
        <x:v>8</x:v>
      </x:c>
      <x:c r="E49" s="14" t="str">
        <x:v>February</x:v>
      </x:c>
      <x:c r="F49" s="14" t="n">
        <x:v>2</x:v>
      </x:c>
      <x:c r="G49" s="14" t="str">
        <x:v>Q1</x:v>
      </x:c>
      <x:c r="H49" s="14" t="n">
        <x:v>2026</x:v>
      </x:c>
      <x:c r="I49" s="14" t="n">
        <x:v>1</x:v>
      </x:c>
    </x:row>
    <x:row r="50">
      <x:c r="A50" s="14" t="n">
        <x:v>20260218</x:v>
      </x:c>
      <x:c r="B50" s="20" t="str">
        <x:v>2026-02-18</x:v>
      </x:c>
      <x:c r="C50" s="14" t="str">
        <x:v>Wednesday</x:v>
      </x:c>
      <x:c r="D50" s="14" t="n">
        <x:v>8</x:v>
      </x:c>
      <x:c r="E50" s="14" t="str">
        <x:v>February</x:v>
      </x:c>
      <x:c r="F50" s="14" t="n">
        <x:v>2</x:v>
      </x:c>
      <x:c r="G50" s="14" t="str">
        <x:v>Q1</x:v>
      </x:c>
      <x:c r="H50" s="14" t="n">
        <x:v>2026</x:v>
      </x:c>
      <x:c r="I50" s="14" t="n">
        <x:v>1</x:v>
      </x:c>
    </x:row>
    <x:row r="51">
      <x:c r="A51" s="14" t="n">
        <x:v>20260219</x:v>
      </x:c>
      <x:c r="B51" s="20" t="str">
        <x:v>2026-02-19</x:v>
      </x:c>
      <x:c r="C51" s="14" t="str">
        <x:v>Thursday</x:v>
      </x:c>
      <x:c r="D51" s="14" t="n">
        <x:v>8</x:v>
      </x:c>
      <x:c r="E51" s="14" t="str">
        <x:v>February</x:v>
      </x:c>
      <x:c r="F51" s="14" t="n">
        <x:v>2</x:v>
      </x:c>
      <x:c r="G51" s="14" t="str">
        <x:v>Q1</x:v>
      </x:c>
      <x:c r="H51" s="14" t="n">
        <x:v>2026</x:v>
      </x:c>
      <x:c r="I51" s="14" t="n">
        <x:v>1</x:v>
      </x:c>
    </x:row>
    <x:row r="52">
      <x:c r="A52" s="14" t="n">
        <x:v>20260220</x:v>
      </x:c>
      <x:c r="B52" s="20" t="str">
        <x:v>2026-02-20</x:v>
      </x:c>
      <x:c r="C52" s="14" t="str">
        <x:v>Friday</x:v>
      </x:c>
      <x:c r="D52" s="14" t="n">
        <x:v>8</x:v>
      </x:c>
      <x:c r="E52" s="14" t="str">
        <x:v>February</x:v>
      </x:c>
      <x:c r="F52" s="14" t="n">
        <x:v>2</x:v>
      </x:c>
      <x:c r="G52" s="14" t="str">
        <x:v>Q1</x:v>
      </x:c>
      <x:c r="H52" s="14" t="n">
        <x:v>2026</x:v>
      </x:c>
      <x:c r="I52" s="14" t="n">
        <x:v>1</x:v>
      </x:c>
    </x:row>
    <x:row r="53">
      <x:c r="A53" s="14" t="n">
        <x:v>20260221</x:v>
      </x:c>
      <x:c r="B53" s="20" t="str">
        <x:v>2026-02-21</x:v>
      </x:c>
      <x:c r="C53" s="14" t="str">
        <x:v>Saturday</x:v>
      </x:c>
      <x:c r="D53" s="14" t="n">
        <x:v>8</x:v>
      </x:c>
      <x:c r="E53" s="14" t="str">
        <x:v>February</x:v>
      </x:c>
      <x:c r="F53" s="14" t="n">
        <x:v>2</x:v>
      </x:c>
      <x:c r="G53" s="14" t="str">
        <x:v>Q1</x:v>
      </x:c>
      <x:c r="H53" s="14" t="n">
        <x:v>2026</x:v>
      </x:c>
      <x:c r="I53" s="14" t="n">
        <x:v>0</x:v>
      </x:c>
    </x:row>
    <x:row r="54">
      <x:c r="A54" s="14" t="n">
        <x:v>20260222</x:v>
      </x:c>
      <x:c r="B54" s="20" t="str">
        <x:v>2026-02-22</x:v>
      </x:c>
      <x:c r="C54" s="14" t="str">
        <x:v>Sunday</x:v>
      </x:c>
      <x:c r="D54" s="14" t="n">
        <x:v>8</x:v>
      </x:c>
      <x:c r="E54" s="14" t="str">
        <x:v>February</x:v>
      </x:c>
      <x:c r="F54" s="14" t="n">
        <x:v>2</x:v>
      </x:c>
      <x:c r="G54" s="14" t="str">
        <x:v>Q1</x:v>
      </x:c>
      <x:c r="H54" s="14" t="n">
        <x:v>2026</x:v>
      </x:c>
      <x:c r="I54" s="14" t="n">
        <x:v>0</x:v>
      </x:c>
    </x:row>
    <x:row r="55">
      <x:c r="A55" s="14" t="n">
        <x:v>20260223</x:v>
      </x:c>
      <x:c r="B55" s="20" t="str">
        <x:v>2026-02-23</x:v>
      </x:c>
      <x:c r="C55" s="14" t="str">
        <x:v>Monday</x:v>
      </x:c>
      <x:c r="D55" s="14" t="n">
        <x:v>9</x:v>
      </x:c>
      <x:c r="E55" s="14" t="str">
        <x:v>February</x:v>
      </x:c>
      <x:c r="F55" s="14" t="n">
        <x:v>2</x:v>
      </x:c>
      <x:c r="G55" s="14" t="str">
        <x:v>Q1</x:v>
      </x:c>
      <x:c r="H55" s="14" t="n">
        <x:v>2026</x:v>
      </x:c>
      <x:c r="I55" s="14" t="n">
        <x:v>1</x:v>
      </x:c>
    </x:row>
    <x:row r="56">
      <x:c r="A56" s="14" t="n">
        <x:v>20260224</x:v>
      </x:c>
      <x:c r="B56" s="20" t="str">
        <x:v>2026-02-24</x:v>
      </x:c>
      <x:c r="C56" s="14" t="str">
        <x:v>Tuesday</x:v>
      </x:c>
      <x:c r="D56" s="14" t="n">
        <x:v>9</x:v>
      </x:c>
      <x:c r="E56" s="14" t="str">
        <x:v>February</x:v>
      </x:c>
      <x:c r="F56" s="14" t="n">
        <x:v>2</x:v>
      </x:c>
      <x:c r="G56" s="14" t="str">
        <x:v>Q1</x:v>
      </x:c>
      <x:c r="H56" s="14" t="n">
        <x:v>2026</x:v>
      </x:c>
      <x:c r="I56" s="14" t="n">
        <x:v>1</x:v>
      </x:c>
    </x:row>
    <x:row r="57">
      <x:c r="A57" s="14" t="n">
        <x:v>20260225</x:v>
      </x:c>
      <x:c r="B57" s="20" t="str">
        <x:v>2026-02-25</x:v>
      </x:c>
      <x:c r="C57" s="14" t="str">
        <x:v>Wednesday</x:v>
      </x:c>
      <x:c r="D57" s="14" t="n">
        <x:v>9</x:v>
      </x:c>
      <x:c r="E57" s="14" t="str">
        <x:v>February</x:v>
      </x:c>
      <x:c r="F57" s="14" t="n">
        <x:v>2</x:v>
      </x:c>
      <x:c r="G57" s="14" t="str">
        <x:v>Q1</x:v>
      </x:c>
      <x:c r="H57" s="14" t="n">
        <x:v>2026</x:v>
      </x:c>
      <x:c r="I57" s="14" t="n">
        <x:v>1</x:v>
      </x:c>
    </x:row>
    <x:row r="58">
      <x:c r="A58" s="14" t="n">
        <x:v>20260226</x:v>
      </x:c>
      <x:c r="B58" s="20" t="str">
        <x:v>2026-02-26</x:v>
      </x:c>
      <x:c r="C58" s="14" t="str">
        <x:v>Thursday</x:v>
      </x:c>
      <x:c r="D58" s="14" t="n">
        <x:v>9</x:v>
      </x:c>
      <x:c r="E58" s="14" t="str">
        <x:v>February</x:v>
      </x:c>
      <x:c r="F58" s="14" t="n">
        <x:v>2</x:v>
      </x:c>
      <x:c r="G58" s="14" t="str">
        <x:v>Q1</x:v>
      </x:c>
      <x:c r="H58" s="14" t="n">
        <x:v>2026</x:v>
      </x:c>
      <x:c r="I58" s="14" t="n">
        <x:v>1</x:v>
      </x:c>
    </x:row>
    <x:row r="59">
      <x:c r="A59" s="14" t="n">
        <x:v>20260227</x:v>
      </x:c>
      <x:c r="B59" s="20" t="str">
        <x:v>2026-02-27</x:v>
      </x:c>
      <x:c r="C59" s="14" t="str">
        <x:v>Friday</x:v>
      </x:c>
      <x:c r="D59" s="14" t="n">
        <x:v>9</x:v>
      </x:c>
      <x:c r="E59" s="14" t="str">
        <x:v>February</x:v>
      </x:c>
      <x:c r="F59" s="14" t="n">
        <x:v>2</x:v>
      </x:c>
      <x:c r="G59" s="14" t="str">
        <x:v>Q1</x:v>
      </x:c>
      <x:c r="H59" s="14" t="n">
        <x:v>2026</x:v>
      </x:c>
      <x:c r="I59" s="14" t="n">
        <x:v>1</x:v>
      </x:c>
    </x:row>
    <x:row r="60">
      <x:c r="A60" s="14" t="n">
        <x:v>20260228</x:v>
      </x:c>
      <x:c r="B60" s="20" t="str">
        <x:v>2026-02-28</x:v>
      </x:c>
      <x:c r="C60" s="14" t="str">
        <x:v>Saturday</x:v>
      </x:c>
      <x:c r="D60" s="14" t="n">
        <x:v>9</x:v>
      </x:c>
      <x:c r="E60" s="14" t="str">
        <x:v>February</x:v>
      </x:c>
      <x:c r="F60" s="14" t="n">
        <x:v>2</x:v>
      </x:c>
      <x:c r="G60" s="14" t="str">
        <x:v>Q1</x:v>
      </x:c>
      <x:c r="H60" s="14" t="n">
        <x:v>2026</x:v>
      </x:c>
      <x:c r="I60" s="14" t="n">
        <x:v>0</x:v>
      </x:c>
    </x:row>
    <x:row r="61">
      <x:c r="A61" s="14" t="n">
        <x:v>20260301</x:v>
      </x:c>
      <x:c r="B61" s="20" t="str">
        <x:v>2026-03-01</x:v>
      </x:c>
      <x:c r="C61" s="14" t="str">
        <x:v>Sunday</x:v>
      </x:c>
      <x:c r="D61" s="14" t="n">
        <x:v>9</x:v>
      </x:c>
      <x:c r="E61" s="14" t="str">
        <x:v>March</x:v>
      </x:c>
      <x:c r="F61" s="14" t="n">
        <x:v>3</x:v>
      </x:c>
      <x:c r="G61" s="14" t="str">
        <x:v>Q1</x:v>
      </x:c>
      <x:c r="H61" s="14" t="n">
        <x:v>2026</x:v>
      </x:c>
      <x:c r="I61" s="14" t="n">
        <x:v>0</x:v>
      </x:c>
    </x:row>
    <x:row r="62">
      <x:c r="A62" s="14" t="n">
        <x:v>20260302</x:v>
      </x:c>
      <x:c r="B62" s="20" t="str">
        <x:v>2026-03-02</x:v>
      </x:c>
      <x:c r="C62" s="14" t="str">
        <x:v>Monday</x:v>
      </x:c>
      <x:c r="D62" s="14" t="n">
        <x:v>10</x:v>
      </x:c>
      <x:c r="E62" s="14" t="str">
        <x:v>March</x:v>
      </x:c>
      <x:c r="F62" s="14" t="n">
        <x:v>3</x:v>
      </x:c>
      <x:c r="G62" s="14" t="str">
        <x:v>Q1</x:v>
      </x:c>
      <x:c r="H62" s="14" t="n">
        <x:v>2026</x:v>
      </x:c>
      <x:c r="I62" s="14" t="n">
        <x:v>1</x:v>
      </x:c>
    </x:row>
    <x:row r="63">
      <x:c r="A63" s="14" t="n">
        <x:v>20260303</x:v>
      </x:c>
      <x:c r="B63" s="20" t="str">
        <x:v>2026-03-03</x:v>
      </x:c>
      <x:c r="C63" s="14" t="str">
        <x:v>Tuesday</x:v>
      </x:c>
      <x:c r="D63" s="14" t="n">
        <x:v>10</x:v>
      </x:c>
      <x:c r="E63" s="14" t="str">
        <x:v>March</x:v>
      </x:c>
      <x:c r="F63" s="14" t="n">
        <x:v>3</x:v>
      </x:c>
      <x:c r="G63" s="14" t="str">
        <x:v>Q1</x:v>
      </x:c>
      <x:c r="H63" s="14" t="n">
        <x:v>2026</x:v>
      </x:c>
      <x:c r="I63" s="14" t="n">
        <x:v>1</x:v>
      </x:c>
    </x:row>
    <x:row r="64">
      <x:c r="A64" s="14" t="n">
        <x:v>20260304</x:v>
      </x:c>
      <x:c r="B64" s="20" t="str">
        <x:v>2026-03-04</x:v>
      </x:c>
      <x:c r="C64" s="14" t="str">
        <x:v>Wednesday</x:v>
      </x:c>
      <x:c r="D64" s="14" t="n">
        <x:v>10</x:v>
      </x:c>
      <x:c r="E64" s="14" t="str">
        <x:v>March</x:v>
      </x:c>
      <x:c r="F64" s="14" t="n">
        <x:v>3</x:v>
      </x:c>
      <x:c r="G64" s="14" t="str">
        <x:v>Q1</x:v>
      </x:c>
      <x:c r="H64" s="14" t="n">
        <x:v>2026</x:v>
      </x:c>
      <x:c r="I64" s="14" t="n">
        <x:v>1</x:v>
      </x:c>
    </x:row>
    <x:row r="65">
      <x:c r="A65" s="14" t="n">
        <x:v>20260305</x:v>
      </x:c>
      <x:c r="B65" s="20" t="str">
        <x:v>2026-03-05</x:v>
      </x:c>
      <x:c r="C65" s="14" t="str">
        <x:v>Thursday</x:v>
      </x:c>
      <x:c r="D65" s="14" t="n">
        <x:v>10</x:v>
      </x:c>
      <x:c r="E65" s="14" t="str">
        <x:v>March</x:v>
      </x:c>
      <x:c r="F65" s="14" t="n">
        <x:v>3</x:v>
      </x:c>
      <x:c r="G65" s="14" t="str">
        <x:v>Q1</x:v>
      </x:c>
      <x:c r="H65" s="14" t="n">
        <x:v>2026</x:v>
      </x:c>
      <x:c r="I65" s="14" t="n">
        <x:v>1</x:v>
      </x:c>
    </x:row>
    <x:row r="66">
      <x:c r="A66" s="14" t="n">
        <x:v>20260306</x:v>
      </x:c>
      <x:c r="B66" s="20" t="str">
        <x:v>2026-03-06</x:v>
      </x:c>
      <x:c r="C66" s="14" t="str">
        <x:v>Friday</x:v>
      </x:c>
      <x:c r="D66" s="14" t="n">
        <x:v>10</x:v>
      </x:c>
      <x:c r="E66" s="14" t="str">
        <x:v>March</x:v>
      </x:c>
      <x:c r="F66" s="14" t="n">
        <x:v>3</x:v>
      </x:c>
      <x:c r="G66" s="14" t="str">
        <x:v>Q1</x:v>
      </x:c>
      <x:c r="H66" s="14" t="n">
        <x:v>2026</x:v>
      </x:c>
      <x:c r="I66" s="14" t="n">
        <x:v>1</x:v>
      </x:c>
    </x:row>
    <x:row r="67">
      <x:c r="A67" s="14" t="n">
        <x:v>20260307</x:v>
      </x:c>
      <x:c r="B67" s="20" t="str">
        <x:v>2026-03-07</x:v>
      </x:c>
      <x:c r="C67" s="14" t="str">
        <x:v>Saturday</x:v>
      </x:c>
      <x:c r="D67" s="14" t="n">
        <x:v>10</x:v>
      </x:c>
      <x:c r="E67" s="14" t="str">
        <x:v>March</x:v>
      </x:c>
      <x:c r="F67" s="14" t="n">
        <x:v>3</x:v>
      </x:c>
      <x:c r="G67" s="14" t="str">
        <x:v>Q1</x:v>
      </x:c>
      <x:c r="H67" s="14" t="n">
        <x:v>2026</x:v>
      </x:c>
      <x:c r="I67" s="14" t="n">
        <x:v>0</x:v>
      </x:c>
    </x:row>
    <x:row r="68">
      <x:c r="A68" s="14" t="n">
        <x:v>20260308</x:v>
      </x:c>
      <x:c r="B68" s="20" t="str">
        <x:v>2026-03-08</x:v>
      </x:c>
      <x:c r="C68" s="14" t="str">
        <x:v>Sunday</x:v>
      </x:c>
      <x:c r="D68" s="14" t="n">
        <x:v>10</x:v>
      </x:c>
      <x:c r="E68" s="14" t="str">
        <x:v>March</x:v>
      </x:c>
      <x:c r="F68" s="14" t="n">
        <x:v>3</x:v>
      </x:c>
      <x:c r="G68" s="14" t="str">
        <x:v>Q1</x:v>
      </x:c>
      <x:c r="H68" s="14" t="n">
        <x:v>2026</x:v>
      </x:c>
      <x:c r="I68" s="14" t="n">
        <x:v>0</x:v>
      </x:c>
    </x:row>
    <x:row r="69">
      <x:c r="A69" s="14" t="n">
        <x:v>20260309</x:v>
      </x:c>
      <x:c r="B69" s="20" t="str">
        <x:v>2026-03-09</x:v>
      </x:c>
      <x:c r="C69" s="14" t="str">
        <x:v>Monday</x:v>
      </x:c>
      <x:c r="D69" s="14" t="n">
        <x:v>11</x:v>
      </x:c>
      <x:c r="E69" s="14" t="str">
        <x:v>March</x:v>
      </x:c>
      <x:c r="F69" s="14" t="n">
        <x:v>3</x:v>
      </x:c>
      <x:c r="G69" s="14" t="str">
        <x:v>Q1</x:v>
      </x:c>
      <x:c r="H69" s="14" t="n">
        <x:v>2026</x:v>
      </x:c>
      <x:c r="I69" s="14" t="n">
        <x:v>1</x:v>
      </x:c>
    </x:row>
    <x:row r="70">
      <x:c r="A70" s="14" t="n">
        <x:v>20260310</x:v>
      </x:c>
      <x:c r="B70" s="20" t="str">
        <x:v>2026-03-10</x:v>
      </x:c>
      <x:c r="C70" s="14" t="str">
        <x:v>Tuesday</x:v>
      </x:c>
      <x:c r="D70" s="14" t="n">
        <x:v>11</x:v>
      </x:c>
      <x:c r="E70" s="14" t="str">
        <x:v>March</x:v>
      </x:c>
      <x:c r="F70" s="14" t="n">
        <x:v>3</x:v>
      </x:c>
      <x:c r="G70" s="14" t="str">
        <x:v>Q1</x:v>
      </x:c>
      <x:c r="H70" s="14" t="n">
        <x:v>2026</x:v>
      </x:c>
      <x:c r="I70" s="14" t="n">
        <x:v>1</x:v>
      </x:c>
    </x:row>
    <x:row r="71">
      <x:c r="A71" s="14" t="n">
        <x:v>20260311</x:v>
      </x:c>
      <x:c r="B71" s="20" t="str">
        <x:v>2026-03-11</x:v>
      </x:c>
      <x:c r="C71" s="14" t="str">
        <x:v>Wednesday</x:v>
      </x:c>
      <x:c r="D71" s="14" t="n">
        <x:v>11</x:v>
      </x:c>
      <x:c r="E71" s="14" t="str">
        <x:v>March</x:v>
      </x:c>
      <x:c r="F71" s="14" t="n">
        <x:v>3</x:v>
      </x:c>
      <x:c r="G71" s="14" t="str">
        <x:v>Q1</x:v>
      </x:c>
      <x:c r="H71" s="14" t="n">
        <x:v>2026</x:v>
      </x:c>
      <x:c r="I71" s="14" t="n">
        <x:v>1</x:v>
      </x:c>
    </x:row>
    <x:row r="72">
      <x:c r="A72" s="14" t="n">
        <x:v>20260312</x:v>
      </x:c>
      <x:c r="B72" s="20" t="str">
        <x:v>2026-03-12</x:v>
      </x:c>
      <x:c r="C72" s="14" t="str">
        <x:v>Thursday</x:v>
      </x:c>
      <x:c r="D72" s="14" t="n">
        <x:v>11</x:v>
      </x:c>
      <x:c r="E72" s="14" t="str">
        <x:v>March</x:v>
      </x:c>
      <x:c r="F72" s="14" t="n">
        <x:v>3</x:v>
      </x:c>
      <x:c r="G72" s="14" t="str">
        <x:v>Q1</x:v>
      </x:c>
      <x:c r="H72" s="14" t="n">
        <x:v>2026</x:v>
      </x:c>
      <x:c r="I72" s="14" t="n">
        <x:v>1</x:v>
      </x:c>
    </x:row>
    <x:row r="73">
      <x:c r="A73" s="14" t="n">
        <x:v>20260313</x:v>
      </x:c>
      <x:c r="B73" s="20" t="str">
        <x:v>2026-03-13</x:v>
      </x:c>
      <x:c r="C73" s="14" t="str">
        <x:v>Friday</x:v>
      </x:c>
      <x:c r="D73" s="14" t="n">
        <x:v>11</x:v>
      </x:c>
      <x:c r="E73" s="14" t="str">
        <x:v>March</x:v>
      </x:c>
      <x:c r="F73" s="14" t="n">
        <x:v>3</x:v>
      </x:c>
      <x:c r="G73" s="14" t="str">
        <x:v>Q1</x:v>
      </x:c>
      <x:c r="H73" s="14" t="n">
        <x:v>2026</x:v>
      </x:c>
      <x:c r="I73" s="14" t="n">
        <x:v>1</x:v>
      </x:c>
    </x:row>
    <x:row r="74">
      <x:c r="A74" s="14" t="n">
        <x:v>20260314</x:v>
      </x:c>
      <x:c r="B74" s="20" t="str">
        <x:v>2026-03-14</x:v>
      </x:c>
      <x:c r="C74" s="14" t="str">
        <x:v>Saturday</x:v>
      </x:c>
      <x:c r="D74" s="14" t="n">
        <x:v>11</x:v>
      </x:c>
      <x:c r="E74" s="14" t="str">
        <x:v>March</x:v>
      </x:c>
      <x:c r="F74" s="14" t="n">
        <x:v>3</x:v>
      </x:c>
      <x:c r="G74" s="14" t="str">
        <x:v>Q1</x:v>
      </x:c>
      <x:c r="H74" s="14" t="n">
        <x:v>2026</x:v>
      </x:c>
      <x:c r="I74" s="14" t="n">
        <x:v>0</x:v>
      </x:c>
    </x:row>
    <x:row r="75">
      <x:c r="A75" s="14" t="n">
        <x:v>20260315</x:v>
      </x:c>
      <x:c r="B75" s="20" t="str">
        <x:v>2026-03-15</x:v>
      </x:c>
      <x:c r="C75" s="14" t="str">
        <x:v>Sunday</x:v>
      </x:c>
      <x:c r="D75" s="14" t="n">
        <x:v>11</x:v>
      </x:c>
      <x:c r="E75" s="14" t="str">
        <x:v>March</x:v>
      </x:c>
      <x:c r="F75" s="14" t="n">
        <x:v>3</x:v>
      </x:c>
      <x:c r="G75" s="14" t="str">
        <x:v>Q1</x:v>
      </x:c>
      <x:c r="H75" s="14" t="n">
        <x:v>2026</x:v>
      </x:c>
      <x:c r="I75" s="14" t="n">
        <x:v>0</x:v>
      </x:c>
    </x:row>
    <x:row r="76">
      <x:c r="A76" s="14" t="n">
        <x:v>20260316</x:v>
      </x:c>
      <x:c r="B76" s="20" t="str">
        <x:v>2026-03-16</x:v>
      </x:c>
      <x:c r="C76" s="14" t="str">
        <x:v>Monday</x:v>
      </x:c>
      <x:c r="D76" s="14" t="n">
        <x:v>12</x:v>
      </x:c>
      <x:c r="E76" s="14" t="str">
        <x:v>March</x:v>
      </x:c>
      <x:c r="F76" s="14" t="n">
        <x:v>3</x:v>
      </x:c>
      <x:c r="G76" s="14" t="str">
        <x:v>Q1</x:v>
      </x:c>
      <x:c r="H76" s="14" t="n">
        <x:v>2026</x:v>
      </x:c>
      <x:c r="I76" s="14" t="n">
        <x:v>1</x:v>
      </x:c>
    </x:row>
    <x:row r="77">
      <x:c r="A77" s="14" t="n">
        <x:v>20260317</x:v>
      </x:c>
      <x:c r="B77" s="20" t="str">
        <x:v>2026-03-17</x:v>
      </x:c>
      <x:c r="C77" s="14" t="str">
        <x:v>Tuesday</x:v>
      </x:c>
      <x:c r="D77" s="14" t="n">
        <x:v>12</x:v>
      </x:c>
      <x:c r="E77" s="14" t="str">
        <x:v>March</x:v>
      </x:c>
      <x:c r="F77" s="14" t="n">
        <x:v>3</x:v>
      </x:c>
      <x:c r="G77" s="14" t="str">
        <x:v>Q1</x:v>
      </x:c>
      <x:c r="H77" s="14" t="n">
        <x:v>2026</x:v>
      </x:c>
      <x:c r="I77" s="14" t="n">
        <x:v>1</x:v>
      </x:c>
    </x:row>
    <x:row r="78">
      <x:c r="A78" s="14" t="n">
        <x:v>20260318</x:v>
      </x:c>
      <x:c r="B78" s="20" t="str">
        <x:v>2026-03-18</x:v>
      </x:c>
      <x:c r="C78" s="14" t="str">
        <x:v>Wednesday</x:v>
      </x:c>
      <x:c r="D78" s="14" t="n">
        <x:v>12</x:v>
      </x:c>
      <x:c r="E78" s="14" t="str">
        <x:v>March</x:v>
      </x:c>
      <x:c r="F78" s="14" t="n">
        <x:v>3</x:v>
      </x:c>
      <x:c r="G78" s="14" t="str">
        <x:v>Q1</x:v>
      </x:c>
      <x:c r="H78" s="14" t="n">
        <x:v>2026</x:v>
      </x:c>
      <x:c r="I78" s="14" t="n">
        <x:v>1</x:v>
      </x:c>
    </x:row>
    <x:row r="79">
      <x:c r="A79" s="14" t="n">
        <x:v>20260319</x:v>
      </x:c>
      <x:c r="B79" s="20" t="str">
        <x:v>2026-03-19</x:v>
      </x:c>
      <x:c r="C79" s="14" t="str">
        <x:v>Thursday</x:v>
      </x:c>
      <x:c r="D79" s="14" t="n">
        <x:v>12</x:v>
      </x:c>
      <x:c r="E79" s="14" t="str">
        <x:v>March</x:v>
      </x:c>
      <x:c r="F79" s="14" t="n">
        <x:v>3</x:v>
      </x:c>
      <x:c r="G79" s="14" t="str">
        <x:v>Q1</x:v>
      </x:c>
      <x:c r="H79" s="14" t="n">
        <x:v>2026</x:v>
      </x:c>
      <x:c r="I79" s="14" t="n">
        <x:v>1</x:v>
      </x:c>
    </x:row>
    <x:row r="80">
      <x:c r="A80" s="14" t="n">
        <x:v>20260320</x:v>
      </x:c>
      <x:c r="B80" s="20" t="str">
        <x:v>2026-03-20</x:v>
      </x:c>
      <x:c r="C80" s="14" t="str">
        <x:v>Friday</x:v>
      </x:c>
      <x:c r="D80" s="14" t="n">
        <x:v>12</x:v>
      </x:c>
      <x:c r="E80" s="14" t="str">
        <x:v>March</x:v>
      </x:c>
      <x:c r="F80" s="14" t="n">
        <x:v>3</x:v>
      </x:c>
      <x:c r="G80" s="14" t="str">
        <x:v>Q1</x:v>
      </x:c>
      <x:c r="H80" s="14" t="n">
        <x:v>2026</x:v>
      </x:c>
      <x:c r="I80" s="14" t="n">
        <x:v>1</x:v>
      </x:c>
    </x:row>
    <x:row r="81">
      <x:c r="A81" s="14" t="n">
        <x:v>20260321</x:v>
      </x:c>
      <x:c r="B81" s="20" t="str">
        <x:v>2026-03-21</x:v>
      </x:c>
      <x:c r="C81" s="14" t="str">
        <x:v>Saturday</x:v>
      </x:c>
      <x:c r="D81" s="14" t="n">
        <x:v>12</x:v>
      </x:c>
      <x:c r="E81" s="14" t="str">
        <x:v>March</x:v>
      </x:c>
      <x:c r="F81" s="14" t="n">
        <x:v>3</x:v>
      </x:c>
      <x:c r="G81" s="14" t="str">
        <x:v>Q1</x:v>
      </x:c>
      <x:c r="H81" s="14" t="n">
        <x:v>2026</x:v>
      </x:c>
      <x:c r="I81" s="14" t="n">
        <x:v>0</x:v>
      </x:c>
    </x:row>
    <x:row r="82">
      <x:c r="A82" s="14" t="n">
        <x:v>20260322</x:v>
      </x:c>
      <x:c r="B82" s="20" t="str">
        <x:v>2026-03-22</x:v>
      </x:c>
      <x:c r="C82" s="14" t="str">
        <x:v>Sunday</x:v>
      </x:c>
      <x:c r="D82" s="14" t="n">
        <x:v>12</x:v>
      </x:c>
      <x:c r="E82" s="14" t="str">
        <x:v>March</x:v>
      </x:c>
      <x:c r="F82" s="14" t="n">
        <x:v>3</x:v>
      </x:c>
      <x:c r="G82" s="14" t="str">
        <x:v>Q1</x:v>
      </x:c>
      <x:c r="H82" s="14" t="n">
        <x:v>2026</x:v>
      </x:c>
      <x:c r="I82" s="14" t="n">
        <x:v>0</x:v>
      </x:c>
    </x:row>
    <x:row r="83">
      <x:c r="A83" s="14" t="n">
        <x:v>20260323</x:v>
      </x:c>
      <x:c r="B83" s="20" t="str">
        <x:v>2026-03-23</x:v>
      </x:c>
      <x:c r="C83" s="14" t="str">
        <x:v>Monday</x:v>
      </x:c>
      <x:c r="D83" s="14" t="n">
        <x:v>13</x:v>
      </x:c>
      <x:c r="E83" s="14" t="str">
        <x:v>March</x:v>
      </x:c>
      <x:c r="F83" s="14" t="n">
        <x:v>3</x:v>
      </x:c>
      <x:c r="G83" s="14" t="str">
        <x:v>Q1</x:v>
      </x:c>
      <x:c r="H83" s="14" t="n">
        <x:v>2026</x:v>
      </x:c>
      <x:c r="I83" s="14" t="n">
        <x:v>1</x:v>
      </x:c>
    </x:row>
    <x:row r="84">
      <x:c r="A84" s="14" t="n">
        <x:v>20260324</x:v>
      </x:c>
      <x:c r="B84" s="20" t="str">
        <x:v>2026-03-24</x:v>
      </x:c>
      <x:c r="C84" s="14" t="str">
        <x:v>Tuesday</x:v>
      </x:c>
      <x:c r="D84" s="14" t="n">
        <x:v>13</x:v>
      </x:c>
      <x:c r="E84" s="14" t="str">
        <x:v>March</x:v>
      </x:c>
      <x:c r="F84" s="14" t="n">
        <x:v>3</x:v>
      </x:c>
      <x:c r="G84" s="14" t="str">
        <x:v>Q1</x:v>
      </x:c>
      <x:c r="H84" s="14" t="n">
        <x:v>2026</x:v>
      </x:c>
      <x:c r="I84" s="14" t="n">
        <x:v>1</x:v>
      </x:c>
    </x:row>
    <x:row r="85">
      <x:c r="A85" s="14" t="n">
        <x:v>20260325</x:v>
      </x:c>
      <x:c r="B85" s="20" t="str">
        <x:v>2026-03-25</x:v>
      </x:c>
      <x:c r="C85" s="14" t="str">
        <x:v>Wednesday</x:v>
      </x:c>
      <x:c r="D85" s="14" t="n">
        <x:v>13</x:v>
      </x:c>
      <x:c r="E85" s="14" t="str">
        <x:v>March</x:v>
      </x:c>
      <x:c r="F85" s="14" t="n">
        <x:v>3</x:v>
      </x:c>
      <x:c r="G85" s="14" t="str">
        <x:v>Q1</x:v>
      </x:c>
      <x:c r="H85" s="14" t="n">
        <x:v>2026</x:v>
      </x:c>
      <x:c r="I85" s="14" t="n">
        <x:v>1</x:v>
      </x:c>
    </x:row>
    <x:row r="86">
      <x:c r="A86" s="14" t="n">
        <x:v>20260326</x:v>
      </x:c>
      <x:c r="B86" s="20" t="str">
        <x:v>2026-03-26</x:v>
      </x:c>
      <x:c r="C86" s="14" t="str">
        <x:v>Thursday</x:v>
      </x:c>
      <x:c r="D86" s="14" t="n">
        <x:v>13</x:v>
      </x:c>
      <x:c r="E86" s="14" t="str">
        <x:v>March</x:v>
      </x:c>
      <x:c r="F86" s="14" t="n">
        <x:v>3</x:v>
      </x:c>
      <x:c r="G86" s="14" t="str">
        <x:v>Q1</x:v>
      </x:c>
      <x:c r="H86" s="14" t="n">
        <x:v>2026</x:v>
      </x:c>
      <x:c r="I86" s="14" t="n">
        <x:v>1</x:v>
      </x:c>
    </x:row>
    <x:row r="87">
      <x:c r="A87" s="14" t="n">
        <x:v>20260327</x:v>
      </x:c>
      <x:c r="B87" s="20" t="str">
        <x:v>2026-03-27</x:v>
      </x:c>
      <x:c r="C87" s="14" t="str">
        <x:v>Friday</x:v>
      </x:c>
      <x:c r="D87" s="14" t="n">
        <x:v>13</x:v>
      </x:c>
      <x:c r="E87" s="14" t="str">
        <x:v>March</x:v>
      </x:c>
      <x:c r="F87" s="14" t="n">
        <x:v>3</x:v>
      </x:c>
      <x:c r="G87" s="14" t="str">
        <x:v>Q1</x:v>
      </x:c>
      <x:c r="H87" s="14" t="n">
        <x:v>2026</x:v>
      </x:c>
      <x:c r="I87" s="14" t="n">
        <x:v>1</x:v>
      </x:c>
    </x:row>
    <x:row r="88">
      <x:c r="A88" s="14" t="n">
        <x:v>20260328</x:v>
      </x:c>
      <x:c r="B88" s="20" t="str">
        <x:v>2026-03-28</x:v>
      </x:c>
      <x:c r="C88" s="14" t="str">
        <x:v>Saturday</x:v>
      </x:c>
      <x:c r="D88" s="14" t="n">
        <x:v>13</x:v>
      </x:c>
      <x:c r="E88" s="14" t="str">
        <x:v>March</x:v>
      </x:c>
      <x:c r="F88" s="14" t="n">
        <x:v>3</x:v>
      </x:c>
      <x:c r="G88" s="14" t="str">
        <x:v>Q1</x:v>
      </x:c>
      <x:c r="H88" s="14" t="n">
        <x:v>2026</x:v>
      </x:c>
      <x:c r="I88" s="14" t="n">
        <x:v>0</x:v>
      </x:c>
    </x:row>
    <x:row r="89">
      <x:c r="A89" s="14" t="n">
        <x:v>20260329</x:v>
      </x:c>
      <x:c r="B89" s="20" t="str">
        <x:v>2026-03-29</x:v>
      </x:c>
      <x:c r="C89" s="14" t="str">
        <x:v>Sunday</x:v>
      </x:c>
      <x:c r="D89" s="14" t="n">
        <x:v>13</x:v>
      </x:c>
      <x:c r="E89" s="14" t="str">
        <x:v>March</x:v>
      </x:c>
      <x:c r="F89" s="14" t="n">
        <x:v>3</x:v>
      </x:c>
      <x:c r="G89" s="14" t="str">
        <x:v>Q1</x:v>
      </x:c>
      <x:c r="H89" s="14" t="n">
        <x:v>2026</x:v>
      </x:c>
      <x:c r="I89" s="14" t="n">
        <x:v>0</x:v>
      </x:c>
    </x:row>
    <x:row r="90">
      <x:c r="A90" s="14" t="n">
        <x:v>20260330</x:v>
      </x:c>
      <x:c r="B90" s="20" t="str">
        <x:v>2026-03-30</x:v>
      </x:c>
      <x:c r="C90" s="14" t="str">
        <x:v>Monday</x:v>
      </x:c>
      <x:c r="D90" s="14" t="n">
        <x:v>14</x:v>
      </x:c>
      <x:c r="E90" s="14" t="str">
        <x:v>March</x:v>
      </x:c>
      <x:c r="F90" s="14" t="n">
        <x:v>3</x:v>
      </x:c>
      <x:c r="G90" s="14" t="str">
        <x:v>Q1</x:v>
      </x:c>
      <x:c r="H90" s="14" t="n">
        <x:v>2026</x:v>
      </x:c>
      <x:c r="I90" s="14" t="n">
        <x:v>1</x:v>
      </x:c>
    </x:row>
    <x:row r="91">
      <x:c r="A91" s="14" t="n">
        <x:v>20260331</x:v>
      </x:c>
      <x:c r="B91" s="20" t="str">
        <x:v>2026-03-31</x:v>
      </x:c>
      <x:c r="C91" s="14" t="str">
        <x:v>Tuesday</x:v>
      </x:c>
      <x:c r="D91" s="14" t="n">
        <x:v>14</x:v>
      </x:c>
      <x:c r="E91" s="14" t="str">
        <x:v>March</x:v>
      </x:c>
      <x:c r="F91" s="14" t="n">
        <x:v>3</x:v>
      </x:c>
      <x:c r="G91" s="14" t="str">
        <x:v>Q1</x:v>
      </x:c>
      <x:c r="H91" s="14" t="n">
        <x:v>2026</x:v>
      </x:c>
      <x:c r="I91" s="14" t="n">
        <x:v>1</x:v>
      </x:c>
    </x:row>
    <x:row r="92">
      <x:c r="A92" s="14" t="n">
        <x:v>20260401</x:v>
      </x:c>
      <x:c r="B92" s="20" t="str">
        <x:v>2026-04-01</x:v>
      </x:c>
      <x:c r="C92" s="14" t="str">
        <x:v>Wednesday</x:v>
      </x:c>
      <x:c r="D92" s="14" t="n">
        <x:v>14</x:v>
      </x:c>
      <x:c r="E92" s="14" t="str">
        <x:v>April</x:v>
      </x:c>
      <x:c r="F92" s="14" t="n">
        <x:v>4</x:v>
      </x:c>
      <x:c r="G92" s="14" t="str">
        <x:v>Q2</x:v>
      </x:c>
      <x:c r="H92" s="14" t="n">
        <x:v>2026</x:v>
      </x:c>
      <x:c r="I92" s="14" t="n">
        <x:v>1</x:v>
      </x:c>
    </x:row>
    <x:row r="93">
      <x:c r="A93" s="14" t="n">
        <x:v>20260402</x:v>
      </x:c>
      <x:c r="B93" s="20" t="str">
        <x:v>2026-04-02</x:v>
      </x:c>
      <x:c r="C93" s="14" t="str">
        <x:v>Thursday</x:v>
      </x:c>
      <x:c r="D93" s="14" t="n">
        <x:v>14</x:v>
      </x:c>
      <x:c r="E93" s="14" t="str">
        <x:v>April</x:v>
      </x:c>
      <x:c r="F93" s="14" t="n">
        <x:v>4</x:v>
      </x:c>
      <x:c r="G93" s="14" t="str">
        <x:v>Q2</x:v>
      </x:c>
      <x:c r="H93" s="14" t="n">
        <x:v>2026</x:v>
      </x:c>
      <x:c r="I93" s="14" t="n">
        <x:v>1</x:v>
      </x:c>
    </x:row>
    <x:row r="94">
      <x:c r="A94" s="14" t="n">
        <x:v>20260403</x:v>
      </x:c>
      <x:c r="B94" s="20" t="str">
        <x:v>2026-04-03</x:v>
      </x:c>
      <x:c r="C94" s="14" t="str">
        <x:v>Friday</x:v>
      </x:c>
      <x:c r="D94" s="14" t="n">
        <x:v>14</x:v>
      </x:c>
      <x:c r="E94" s="14" t="str">
        <x:v>April</x:v>
      </x:c>
      <x:c r="F94" s="14" t="n">
        <x:v>4</x:v>
      </x:c>
      <x:c r="G94" s="14" t="str">
        <x:v>Q2</x:v>
      </x:c>
      <x:c r="H94" s="14" t="n">
        <x:v>2026</x:v>
      </x:c>
      <x:c r="I94" s="14" t="n">
        <x:v>1</x:v>
      </x:c>
    </x:row>
    <x:row r="95">
      <x:c r="A95" s="14" t="n">
        <x:v>20260404</x:v>
      </x:c>
      <x:c r="B95" s="20" t="str">
        <x:v>2026-04-04</x:v>
      </x:c>
      <x:c r="C95" s="14" t="str">
        <x:v>Saturday</x:v>
      </x:c>
      <x:c r="D95" s="14" t="n">
        <x:v>14</x:v>
      </x:c>
      <x:c r="E95" s="14" t="str">
        <x:v>April</x:v>
      </x:c>
      <x:c r="F95" s="14" t="n">
        <x:v>4</x:v>
      </x:c>
      <x:c r="G95" s="14" t="str">
        <x:v>Q2</x:v>
      </x:c>
      <x:c r="H95" s="14" t="n">
        <x:v>2026</x:v>
      </x:c>
      <x:c r="I95" s="14" t="n">
        <x:v>0</x:v>
      </x:c>
    </x:row>
    <x:row r="96">
      <x:c r="A96" s="14" t="n">
        <x:v>20260405</x:v>
      </x:c>
      <x:c r="B96" s="20" t="str">
        <x:v>2026-04-05</x:v>
      </x:c>
      <x:c r="C96" s="14" t="str">
        <x:v>Sunday</x:v>
      </x:c>
      <x:c r="D96" s="14" t="n">
        <x:v>14</x:v>
      </x:c>
      <x:c r="E96" s="14" t="str">
        <x:v>April</x:v>
      </x:c>
      <x:c r="F96" s="14" t="n">
        <x:v>4</x:v>
      </x:c>
      <x:c r="G96" s="14" t="str">
        <x:v>Q2</x:v>
      </x:c>
      <x:c r="H96" s="14" t="n">
        <x:v>2026</x:v>
      </x:c>
      <x:c r="I96" s="14" t="n">
        <x:v>0</x:v>
      </x:c>
    </x:row>
    <x:row r="97">
      <x:c r="A97" s="14" t="n">
        <x:v>20260406</x:v>
      </x:c>
      <x:c r="B97" s="20" t="str">
        <x:v>2026-04-06</x:v>
      </x:c>
      <x:c r="C97" s="14" t="str">
        <x:v>Monday</x:v>
      </x:c>
      <x:c r="D97" s="14" t="n">
        <x:v>15</x:v>
      </x:c>
      <x:c r="E97" s="14" t="str">
        <x:v>April</x:v>
      </x:c>
      <x:c r="F97" s="14" t="n">
        <x:v>4</x:v>
      </x:c>
      <x:c r="G97" s="14" t="str">
        <x:v>Q2</x:v>
      </x:c>
      <x:c r="H97" s="14" t="n">
        <x:v>2026</x:v>
      </x:c>
      <x:c r="I97" s="14" t="n">
        <x:v>1</x:v>
      </x:c>
    </x:row>
    <x:row r="98">
      <x:c r="A98" s="14" t="n">
        <x:v>20260407</x:v>
      </x:c>
      <x:c r="B98" s="20" t="str">
        <x:v>2026-04-07</x:v>
      </x:c>
      <x:c r="C98" s="14" t="str">
        <x:v>Tuesday</x:v>
      </x:c>
      <x:c r="D98" s="14" t="n">
        <x:v>15</x:v>
      </x:c>
      <x:c r="E98" s="14" t="str">
        <x:v>April</x:v>
      </x:c>
      <x:c r="F98" s="14" t="n">
        <x:v>4</x:v>
      </x:c>
      <x:c r="G98" s="14" t="str">
        <x:v>Q2</x:v>
      </x:c>
      <x:c r="H98" s="14" t="n">
        <x:v>2026</x:v>
      </x:c>
      <x:c r="I98" s="14" t="n">
        <x:v>1</x:v>
      </x:c>
    </x:row>
    <x:row r="99">
      <x:c r="A99" s="14" t="n">
        <x:v>20260408</x:v>
      </x:c>
      <x:c r="B99" s="20" t="str">
        <x:v>2026-04-08</x:v>
      </x:c>
      <x:c r="C99" s="14" t="str">
        <x:v>Wednesday</x:v>
      </x:c>
      <x:c r="D99" s="14" t="n">
        <x:v>15</x:v>
      </x:c>
      <x:c r="E99" s="14" t="str">
        <x:v>April</x:v>
      </x:c>
      <x:c r="F99" s="14" t="n">
        <x:v>4</x:v>
      </x:c>
      <x:c r="G99" s="14" t="str">
        <x:v>Q2</x:v>
      </x:c>
      <x:c r="H99" s="14" t="n">
        <x:v>2026</x:v>
      </x:c>
      <x:c r="I99" s="14" t="n">
        <x:v>1</x:v>
      </x:c>
    </x:row>
    <x:row r="100">
      <x:c r="A100" s="14" t="n">
        <x:v>20260409</x:v>
      </x:c>
      <x:c r="B100" s="20" t="str">
        <x:v>2026-04-09</x:v>
      </x:c>
      <x:c r="C100" s="14" t="str">
        <x:v>Thursday</x:v>
      </x:c>
      <x:c r="D100" s="14" t="n">
        <x:v>15</x:v>
      </x:c>
      <x:c r="E100" s="14" t="str">
        <x:v>April</x:v>
      </x:c>
      <x:c r="F100" s="14" t="n">
        <x:v>4</x:v>
      </x:c>
      <x:c r="G100" s="14" t="str">
        <x:v>Q2</x:v>
      </x:c>
      <x:c r="H100" s="14" t="n">
        <x:v>2026</x:v>
      </x:c>
      <x:c r="I100" s="14" t="n">
        <x:v>1</x:v>
      </x:c>
    </x:row>
    <x:row r="101">
      <x:c r="A101" s="14" t="n">
        <x:v>20260410</x:v>
      </x:c>
      <x:c r="B101" s="20" t="str">
        <x:v>2026-04-10</x:v>
      </x:c>
      <x:c r="C101" s="14" t="str">
        <x:v>Friday</x:v>
      </x:c>
      <x:c r="D101" s="14" t="n">
        <x:v>15</x:v>
      </x:c>
      <x:c r="E101" s="14" t="str">
        <x:v>April</x:v>
      </x:c>
      <x:c r="F101" s="14" t="n">
        <x:v>4</x:v>
      </x:c>
      <x:c r="G101" s="14" t="str">
        <x:v>Q2</x:v>
      </x:c>
      <x:c r="H101" s="14" t="n">
        <x:v>2026</x:v>
      </x:c>
      <x:c r="I101" s="14" t="n">
        <x:v>1</x:v>
      </x:c>
    </x:row>
    <x:row r="102">
      <x:c r="A102" s="14" t="n">
        <x:v>20260411</x:v>
      </x:c>
      <x:c r="B102" s="20" t="str">
        <x:v>2026-04-11</x:v>
      </x:c>
      <x:c r="C102" s="14" t="str">
        <x:v>Saturday</x:v>
      </x:c>
      <x:c r="D102" s="14" t="n">
        <x:v>15</x:v>
      </x:c>
      <x:c r="E102" s="14" t="str">
        <x:v>April</x:v>
      </x:c>
      <x:c r="F102" s="14" t="n">
        <x:v>4</x:v>
      </x:c>
      <x:c r="G102" s="14" t="str">
        <x:v>Q2</x:v>
      </x:c>
      <x:c r="H102" s="14" t="n">
        <x:v>2026</x:v>
      </x:c>
      <x:c r="I102" s="14" t="n">
        <x:v>0</x:v>
      </x:c>
    </x:row>
    <x:row r="103">
      <x:c r="A103" s="14" t="n">
        <x:v>20260412</x:v>
      </x:c>
      <x:c r="B103" s="20" t="str">
        <x:v>2026-04-12</x:v>
      </x:c>
      <x:c r="C103" s="14" t="str">
        <x:v>Sunday</x:v>
      </x:c>
      <x:c r="D103" s="14" t="n">
        <x:v>15</x:v>
      </x:c>
      <x:c r="E103" s="14" t="str">
        <x:v>April</x:v>
      </x:c>
      <x:c r="F103" s="14" t="n">
        <x:v>4</x:v>
      </x:c>
      <x:c r="G103" s="14" t="str">
        <x:v>Q2</x:v>
      </x:c>
      <x:c r="H103" s="14" t="n">
        <x:v>2026</x:v>
      </x:c>
      <x:c r="I103" s="14" t="n">
        <x:v>0</x:v>
      </x:c>
    </x:row>
    <x:row r="104">
      <x:c r="A104" s="14" t="n">
        <x:v>20260413</x:v>
      </x:c>
      <x:c r="B104" s="20" t="str">
        <x:v>2026-04-13</x:v>
      </x:c>
      <x:c r="C104" s="14" t="str">
        <x:v>Monday</x:v>
      </x:c>
      <x:c r="D104" s="14" t="n">
        <x:v>16</x:v>
      </x:c>
      <x:c r="E104" s="14" t="str">
        <x:v>April</x:v>
      </x:c>
      <x:c r="F104" s="14" t="n">
        <x:v>4</x:v>
      </x:c>
      <x:c r="G104" s="14" t="str">
        <x:v>Q2</x:v>
      </x:c>
      <x:c r="H104" s="14" t="n">
        <x:v>2026</x:v>
      </x:c>
      <x:c r="I104" s="14" t="n">
        <x:v>1</x:v>
      </x:c>
    </x:row>
    <x:row r="105">
      <x:c r="A105" s="14" t="n">
        <x:v>20260414</x:v>
      </x:c>
      <x:c r="B105" s="20" t="str">
        <x:v>2026-04-14</x:v>
      </x:c>
      <x:c r="C105" s="14" t="str">
        <x:v>Tuesday</x:v>
      </x:c>
      <x:c r="D105" s="14" t="n">
        <x:v>16</x:v>
      </x:c>
      <x:c r="E105" s="14" t="str">
        <x:v>April</x:v>
      </x:c>
      <x:c r="F105" s="14" t="n">
        <x:v>4</x:v>
      </x:c>
      <x:c r="G105" s="14" t="str">
        <x:v>Q2</x:v>
      </x:c>
      <x:c r="H105" s="14" t="n">
        <x:v>2026</x:v>
      </x:c>
      <x:c r="I105" s="14" t="n">
        <x:v>1</x:v>
      </x:c>
    </x:row>
    <x:row r="106">
      <x:c r="A106" s="14" t="n">
        <x:v>20260415</x:v>
      </x:c>
      <x:c r="B106" s="20" t="str">
        <x:v>2026-04-15</x:v>
      </x:c>
      <x:c r="C106" s="14" t="str">
        <x:v>Wednesday</x:v>
      </x:c>
      <x:c r="D106" s="14" t="n">
        <x:v>16</x:v>
      </x:c>
      <x:c r="E106" s="14" t="str">
        <x:v>April</x:v>
      </x:c>
      <x:c r="F106" s="14" t="n">
        <x:v>4</x:v>
      </x:c>
      <x:c r="G106" s="14" t="str">
        <x:v>Q2</x:v>
      </x:c>
      <x:c r="H106" s="14" t="n">
        <x:v>2026</x:v>
      </x:c>
      <x:c r="I106" s="14" t="n">
        <x:v>1</x:v>
      </x:c>
    </x:row>
    <x:row r="107">
      <x:c r="A107" s="14" t="n">
        <x:v>20260416</x:v>
      </x:c>
      <x:c r="B107" s="20" t="str">
        <x:v>2026-04-16</x:v>
      </x:c>
      <x:c r="C107" s="14" t="str">
        <x:v>Thursday</x:v>
      </x:c>
      <x:c r="D107" s="14" t="n">
        <x:v>16</x:v>
      </x:c>
      <x:c r="E107" s="14" t="str">
        <x:v>April</x:v>
      </x:c>
      <x:c r="F107" s="14" t="n">
        <x:v>4</x:v>
      </x:c>
      <x:c r="G107" s="14" t="str">
        <x:v>Q2</x:v>
      </x:c>
      <x:c r="H107" s="14" t="n">
        <x:v>2026</x:v>
      </x:c>
      <x:c r="I107" s="14" t="n">
        <x:v>1</x:v>
      </x:c>
    </x:row>
    <x:row r="108">
      <x:c r="A108" s="14" t="n">
        <x:v>20260417</x:v>
      </x:c>
      <x:c r="B108" s="20" t="str">
        <x:v>2026-04-17</x:v>
      </x:c>
      <x:c r="C108" s="14" t="str">
        <x:v>Friday</x:v>
      </x:c>
      <x:c r="D108" s="14" t="n">
        <x:v>16</x:v>
      </x:c>
      <x:c r="E108" s="14" t="str">
        <x:v>April</x:v>
      </x:c>
      <x:c r="F108" s="14" t="n">
        <x:v>4</x:v>
      </x:c>
      <x:c r="G108" s="14" t="str">
        <x:v>Q2</x:v>
      </x:c>
      <x:c r="H108" s="14" t="n">
        <x:v>2026</x:v>
      </x:c>
      <x:c r="I108" s="14" t="n">
        <x:v>1</x:v>
      </x:c>
    </x:row>
    <x:row r="109">
      <x:c r="A109" s="14" t="n">
        <x:v>20260418</x:v>
      </x:c>
      <x:c r="B109" s="20" t="str">
        <x:v>2026-04-18</x:v>
      </x:c>
      <x:c r="C109" s="14" t="str">
        <x:v>Saturday</x:v>
      </x:c>
      <x:c r="D109" s="14" t="n">
        <x:v>16</x:v>
      </x:c>
      <x:c r="E109" s="14" t="str">
        <x:v>April</x:v>
      </x:c>
      <x:c r="F109" s="14" t="n">
        <x:v>4</x:v>
      </x:c>
      <x:c r="G109" s="14" t="str">
        <x:v>Q2</x:v>
      </x:c>
      <x:c r="H109" s="14" t="n">
        <x:v>2026</x:v>
      </x:c>
      <x:c r="I109" s="14" t="n">
        <x:v>0</x:v>
      </x:c>
    </x:row>
    <x:row r="110">
      <x:c r="A110" s="14" t="n">
        <x:v>20260419</x:v>
      </x:c>
      <x:c r="B110" s="20" t="str">
        <x:v>2026-04-19</x:v>
      </x:c>
      <x:c r="C110" s="14" t="str">
        <x:v>Sunday</x:v>
      </x:c>
      <x:c r="D110" s="14" t="n">
        <x:v>16</x:v>
      </x:c>
      <x:c r="E110" s="14" t="str">
        <x:v>April</x:v>
      </x:c>
      <x:c r="F110" s="14" t="n">
        <x:v>4</x:v>
      </x:c>
      <x:c r="G110" s="14" t="str">
        <x:v>Q2</x:v>
      </x:c>
      <x:c r="H110" s="14" t="n">
        <x:v>2026</x:v>
      </x:c>
      <x:c r="I110" s="14" t="n">
        <x:v>0</x:v>
      </x:c>
    </x:row>
    <x:row r="111">
      <x:c r="A111" s="14" t="n">
        <x:v>20260420</x:v>
      </x:c>
      <x:c r="B111" s="20" t="str">
        <x:v>2026-04-20</x:v>
      </x:c>
      <x:c r="C111" s="14" t="str">
        <x:v>Monday</x:v>
      </x:c>
      <x:c r="D111" s="14" t="n">
        <x:v>17</x:v>
      </x:c>
      <x:c r="E111" s="14" t="str">
        <x:v>April</x:v>
      </x:c>
      <x:c r="F111" s="14" t="n">
        <x:v>4</x:v>
      </x:c>
      <x:c r="G111" s="14" t="str">
        <x:v>Q2</x:v>
      </x:c>
      <x:c r="H111" s="14" t="n">
        <x:v>2026</x:v>
      </x:c>
      <x:c r="I111" s="14" t="n">
        <x:v>1</x:v>
      </x:c>
    </x:row>
    <x:row r="112">
      <x:c r="A112" s="14" t="n">
        <x:v>20260421</x:v>
      </x:c>
      <x:c r="B112" s="20" t="str">
        <x:v>2026-04-21</x:v>
      </x:c>
      <x:c r="C112" s="14" t="str">
        <x:v>Tuesday</x:v>
      </x:c>
      <x:c r="D112" s="14" t="n">
        <x:v>17</x:v>
      </x:c>
      <x:c r="E112" s="14" t="str">
        <x:v>April</x:v>
      </x:c>
      <x:c r="F112" s="14" t="n">
        <x:v>4</x:v>
      </x:c>
      <x:c r="G112" s="14" t="str">
        <x:v>Q2</x:v>
      </x:c>
      <x:c r="H112" s="14" t="n">
        <x:v>2026</x:v>
      </x:c>
      <x:c r="I112" s="14" t="n">
        <x:v>1</x:v>
      </x:c>
    </x:row>
    <x:row r="113">
      <x:c r="A113" s="14" t="n">
        <x:v>20260422</x:v>
      </x:c>
      <x:c r="B113" s="20" t="str">
        <x:v>2026-04-22</x:v>
      </x:c>
      <x:c r="C113" s="14" t="str">
        <x:v>Wednesday</x:v>
      </x:c>
      <x:c r="D113" s="14" t="n">
        <x:v>17</x:v>
      </x:c>
      <x:c r="E113" s="14" t="str">
        <x:v>April</x:v>
      </x:c>
      <x:c r="F113" s="14" t="n">
        <x:v>4</x:v>
      </x:c>
      <x:c r="G113" s="14" t="str">
        <x:v>Q2</x:v>
      </x:c>
      <x:c r="H113" s="14" t="n">
        <x:v>2026</x:v>
      </x:c>
      <x:c r="I113" s="14" t="n">
        <x:v>1</x:v>
      </x:c>
    </x:row>
    <x:row r="114">
      <x:c r="A114" s="14" t="n">
        <x:v>20260423</x:v>
      </x:c>
      <x:c r="B114" s="20" t="str">
        <x:v>2026-04-23</x:v>
      </x:c>
      <x:c r="C114" s="14" t="str">
        <x:v>Thursday</x:v>
      </x:c>
      <x:c r="D114" s="14" t="n">
        <x:v>17</x:v>
      </x:c>
      <x:c r="E114" s="14" t="str">
        <x:v>April</x:v>
      </x:c>
      <x:c r="F114" s="14" t="n">
        <x:v>4</x:v>
      </x:c>
      <x:c r="G114" s="14" t="str">
        <x:v>Q2</x:v>
      </x:c>
      <x:c r="H114" s="14" t="n">
        <x:v>2026</x:v>
      </x:c>
      <x:c r="I114" s="14" t="n">
        <x:v>1</x:v>
      </x:c>
    </x:row>
    <x:row r="115">
      <x:c r="A115" s="14" t="n">
        <x:v>20260424</x:v>
      </x:c>
      <x:c r="B115" s="20" t="str">
        <x:v>2026-04-24</x:v>
      </x:c>
      <x:c r="C115" s="14" t="str">
        <x:v>Friday</x:v>
      </x:c>
      <x:c r="D115" s="14" t="n">
        <x:v>17</x:v>
      </x:c>
      <x:c r="E115" s="14" t="str">
        <x:v>April</x:v>
      </x:c>
      <x:c r="F115" s="14" t="n">
        <x:v>4</x:v>
      </x:c>
      <x:c r="G115" s="14" t="str">
        <x:v>Q2</x:v>
      </x:c>
      <x:c r="H115" s="14" t="n">
        <x:v>2026</x:v>
      </x:c>
      <x:c r="I115" s="14" t="n">
        <x:v>1</x:v>
      </x:c>
    </x:row>
    <x:row r="116">
      <x:c r="A116" s="14" t="n">
        <x:v>20260425</x:v>
      </x:c>
      <x:c r="B116" s="20" t="str">
        <x:v>2026-04-25</x:v>
      </x:c>
      <x:c r="C116" s="14" t="str">
        <x:v>Saturday</x:v>
      </x:c>
      <x:c r="D116" s="14" t="n">
        <x:v>17</x:v>
      </x:c>
      <x:c r="E116" s="14" t="str">
        <x:v>April</x:v>
      </x:c>
      <x:c r="F116" s="14" t="n">
        <x:v>4</x:v>
      </x:c>
      <x:c r="G116" s="14" t="str">
        <x:v>Q2</x:v>
      </x:c>
      <x:c r="H116" s="14" t="n">
        <x:v>2026</x:v>
      </x:c>
      <x:c r="I116" s="14" t="n">
        <x:v>0</x:v>
      </x:c>
    </x:row>
    <x:row r="117">
      <x:c r="A117" s="14" t="n">
        <x:v>20260426</x:v>
      </x:c>
      <x:c r="B117" s="20" t="str">
        <x:v>2026-04-26</x:v>
      </x:c>
      <x:c r="C117" s="14" t="str">
        <x:v>Sunday</x:v>
      </x:c>
      <x:c r="D117" s="14" t="n">
        <x:v>17</x:v>
      </x:c>
      <x:c r="E117" s="14" t="str">
        <x:v>April</x:v>
      </x:c>
      <x:c r="F117" s="14" t="n">
        <x:v>4</x:v>
      </x:c>
      <x:c r="G117" s="14" t="str">
        <x:v>Q2</x:v>
      </x:c>
      <x:c r="H117" s="14" t="n">
        <x:v>2026</x:v>
      </x:c>
      <x:c r="I117" s="14" t="n">
        <x:v>0</x:v>
      </x:c>
    </x:row>
    <x:row r="118">
      <x:c r="A118" s="14" t="n">
        <x:v>20260427</x:v>
      </x:c>
      <x:c r="B118" s="20" t="str">
        <x:v>2026-04-27</x:v>
      </x:c>
      <x:c r="C118" s="14" t="str">
        <x:v>Monday</x:v>
      </x:c>
      <x:c r="D118" s="14" t="n">
        <x:v>18</x:v>
      </x:c>
      <x:c r="E118" s="14" t="str">
        <x:v>April</x:v>
      </x:c>
      <x:c r="F118" s="14" t="n">
        <x:v>4</x:v>
      </x:c>
      <x:c r="G118" s="14" t="str">
        <x:v>Q2</x:v>
      </x:c>
      <x:c r="H118" s="14" t="n">
        <x:v>2026</x:v>
      </x:c>
      <x:c r="I118" s="14" t="n">
        <x:v>1</x:v>
      </x:c>
    </x:row>
    <x:row r="119">
      <x:c r="A119" s="14" t="n">
        <x:v>20260428</x:v>
      </x:c>
      <x:c r="B119" s="20" t="str">
        <x:v>2026-04-28</x:v>
      </x:c>
      <x:c r="C119" s="14" t="str">
        <x:v>Tuesday</x:v>
      </x:c>
      <x:c r="D119" s="14" t="n">
        <x:v>18</x:v>
      </x:c>
      <x:c r="E119" s="14" t="str">
        <x:v>April</x:v>
      </x:c>
      <x:c r="F119" s="14" t="n">
        <x:v>4</x:v>
      </x:c>
      <x:c r="G119" s="14" t="str">
        <x:v>Q2</x:v>
      </x:c>
      <x:c r="H119" s="14" t="n">
        <x:v>2026</x:v>
      </x:c>
      <x:c r="I119" s="14" t="n">
        <x:v>1</x:v>
      </x:c>
    </x:row>
    <x:row r="120">
      <x:c r="A120" s="14" t="n">
        <x:v>20260429</x:v>
      </x:c>
      <x:c r="B120" s="20" t="str">
        <x:v>2026-04-29</x:v>
      </x:c>
      <x:c r="C120" s="14" t="str">
        <x:v>Wednesday</x:v>
      </x:c>
      <x:c r="D120" s="14" t="n">
        <x:v>18</x:v>
      </x:c>
      <x:c r="E120" s="14" t="str">
        <x:v>April</x:v>
      </x:c>
      <x:c r="F120" s="14" t="n">
        <x:v>4</x:v>
      </x:c>
      <x:c r="G120" s="14" t="str">
        <x:v>Q2</x:v>
      </x:c>
      <x:c r="H120" s="14" t="n">
        <x:v>2026</x:v>
      </x:c>
      <x:c r="I120" s="14" t="n">
        <x:v>1</x:v>
      </x:c>
    </x:row>
    <x:row r="121">
      <x:c r="A121" s="14" t="n">
        <x:v>20260430</x:v>
      </x:c>
      <x:c r="B121" s="20" t="str">
        <x:v>2026-04-30</x:v>
      </x:c>
      <x:c r="C121" s="14" t="str">
        <x:v>Thursday</x:v>
      </x:c>
      <x:c r="D121" s="14" t="n">
        <x:v>18</x:v>
      </x:c>
      <x:c r="E121" s="14" t="str">
        <x:v>April</x:v>
      </x:c>
      <x:c r="F121" s="14" t="n">
        <x:v>4</x:v>
      </x:c>
      <x:c r="G121" s="14" t="str">
        <x:v>Q2</x:v>
      </x:c>
      <x:c r="H121" s="14" t="n">
        <x:v>2026</x:v>
      </x:c>
      <x:c r="I121" s="14" t="n">
        <x:v>1</x:v>
      </x:c>
    </x:row>
    <x:row r="122">
      <x:c r="A122" s="14" t="n">
        <x:v>20260501</x:v>
      </x:c>
      <x:c r="B122" s="20" t="str">
        <x:v>2026-05-01</x:v>
      </x:c>
      <x:c r="C122" s="14" t="str">
        <x:v>Friday</x:v>
      </x:c>
      <x:c r="D122" s="14" t="n">
        <x:v>18</x:v>
      </x:c>
      <x:c r="E122" s="14" t="str">
        <x:v>May</x:v>
      </x:c>
      <x:c r="F122" s="14" t="n">
        <x:v>5</x:v>
      </x:c>
      <x:c r="G122" s="14" t="str">
        <x:v>Q2</x:v>
      </x:c>
      <x:c r="H122" s="14" t="n">
        <x:v>2026</x:v>
      </x:c>
      <x:c r="I122" s="14" t="n">
        <x:v>1</x:v>
      </x:c>
    </x:row>
    <x:row r="123">
      <x:c r="A123" s="14" t="n">
        <x:v>20260502</x:v>
      </x:c>
      <x:c r="B123" s="20" t="str">
        <x:v>2026-05-02</x:v>
      </x:c>
      <x:c r="C123" s="14" t="str">
        <x:v>Saturday</x:v>
      </x:c>
      <x:c r="D123" s="14" t="n">
        <x:v>18</x:v>
      </x:c>
      <x:c r="E123" s="14" t="str">
        <x:v>May</x:v>
      </x:c>
      <x:c r="F123" s="14" t="n">
        <x:v>5</x:v>
      </x:c>
      <x:c r="G123" s="14" t="str">
        <x:v>Q2</x:v>
      </x:c>
      <x:c r="H123" s="14" t="n">
        <x:v>2026</x:v>
      </x:c>
      <x:c r="I123" s="14" t="n">
        <x:v>0</x:v>
      </x:c>
    </x:row>
    <x:row r="124">
      <x:c r="A124" s="14" t="n">
        <x:v>20260503</x:v>
      </x:c>
      <x:c r="B124" s="20" t="str">
        <x:v>2026-05-03</x:v>
      </x:c>
      <x:c r="C124" s="14" t="str">
        <x:v>Sunday</x:v>
      </x:c>
      <x:c r="D124" s="14" t="n">
        <x:v>18</x:v>
      </x:c>
      <x:c r="E124" s="14" t="str">
        <x:v>May</x:v>
      </x:c>
      <x:c r="F124" s="14" t="n">
        <x:v>5</x:v>
      </x:c>
      <x:c r="G124" s="14" t="str">
        <x:v>Q2</x:v>
      </x:c>
      <x:c r="H124" s="14" t="n">
        <x:v>2026</x:v>
      </x:c>
      <x:c r="I124" s="14" t="n">
        <x:v>0</x:v>
      </x:c>
    </x:row>
    <x:row r="125">
      <x:c r="A125" s="14" t="n">
        <x:v>20260504</x:v>
      </x:c>
      <x:c r="B125" s="20" t="str">
        <x:v>2026-05-04</x:v>
      </x:c>
      <x:c r="C125" s="14" t="str">
        <x:v>Monday</x:v>
      </x:c>
      <x:c r="D125" s="14" t="n">
        <x:v>19</x:v>
      </x:c>
      <x:c r="E125" s="14" t="str">
        <x:v>May</x:v>
      </x:c>
      <x:c r="F125" s="14" t="n">
        <x:v>5</x:v>
      </x:c>
      <x:c r="G125" s="14" t="str">
        <x:v>Q2</x:v>
      </x:c>
      <x:c r="H125" s="14" t="n">
        <x:v>2026</x:v>
      </x:c>
      <x:c r="I125" s="14" t="n">
        <x:v>1</x:v>
      </x:c>
    </x:row>
    <x:row r="126">
      <x:c r="A126" s="14" t="n">
        <x:v>20260505</x:v>
      </x:c>
      <x:c r="B126" s="20" t="str">
        <x:v>2026-05-05</x:v>
      </x:c>
      <x:c r="C126" s="14" t="str">
        <x:v>Tuesday</x:v>
      </x:c>
      <x:c r="D126" s="14" t="n">
        <x:v>19</x:v>
      </x:c>
      <x:c r="E126" s="14" t="str">
        <x:v>May</x:v>
      </x:c>
      <x:c r="F126" s="14" t="n">
        <x:v>5</x:v>
      </x:c>
      <x:c r="G126" s="14" t="str">
        <x:v>Q2</x:v>
      </x:c>
      <x:c r="H126" s="14" t="n">
        <x:v>2026</x:v>
      </x:c>
      <x:c r="I126" s="14" t="n">
        <x:v>1</x:v>
      </x:c>
    </x:row>
    <x:row r="127">
      <x:c r="A127" s="14" t="n">
        <x:v>20260506</x:v>
      </x:c>
      <x:c r="B127" s="20" t="str">
        <x:v>2026-05-06</x:v>
      </x:c>
      <x:c r="C127" s="14" t="str">
        <x:v>Wednesday</x:v>
      </x:c>
      <x:c r="D127" s="14" t="n">
        <x:v>19</x:v>
      </x:c>
      <x:c r="E127" s="14" t="str">
        <x:v>May</x:v>
      </x:c>
      <x:c r="F127" s="14" t="n">
        <x:v>5</x:v>
      </x:c>
      <x:c r="G127" s="14" t="str">
        <x:v>Q2</x:v>
      </x:c>
      <x:c r="H127" s="14" t="n">
        <x:v>2026</x:v>
      </x:c>
      <x:c r="I127" s="14" t="n">
        <x:v>1</x:v>
      </x:c>
    </x:row>
    <x:row r="128">
      <x:c r="A128" s="14" t="n">
        <x:v>20260507</x:v>
      </x:c>
      <x:c r="B128" s="20" t="str">
        <x:v>2026-05-07</x:v>
      </x:c>
      <x:c r="C128" s="14" t="str">
        <x:v>Thursday</x:v>
      </x:c>
      <x:c r="D128" s="14" t="n">
        <x:v>19</x:v>
      </x:c>
      <x:c r="E128" s="14" t="str">
        <x:v>May</x:v>
      </x:c>
      <x:c r="F128" s="14" t="n">
        <x:v>5</x:v>
      </x:c>
      <x:c r="G128" s="14" t="str">
        <x:v>Q2</x:v>
      </x:c>
      <x:c r="H128" s="14" t="n">
        <x:v>2026</x:v>
      </x:c>
      <x:c r="I128" s="14" t="n">
        <x:v>1</x:v>
      </x:c>
    </x:row>
    <x:row r="129">
      <x:c r="A129" s="14" t="n">
        <x:v>20260508</x:v>
      </x:c>
      <x:c r="B129" s="20" t="str">
        <x:v>2026-05-08</x:v>
      </x:c>
      <x:c r="C129" s="14" t="str">
        <x:v>Friday</x:v>
      </x:c>
      <x:c r="D129" s="14" t="n">
        <x:v>19</x:v>
      </x:c>
      <x:c r="E129" s="14" t="str">
        <x:v>May</x:v>
      </x:c>
      <x:c r="F129" s="14" t="n">
        <x:v>5</x:v>
      </x:c>
      <x:c r="G129" s="14" t="str">
        <x:v>Q2</x:v>
      </x:c>
      <x:c r="H129" s="14" t="n">
        <x:v>2026</x:v>
      </x:c>
      <x:c r="I129" s="14" t="n">
        <x:v>1</x:v>
      </x:c>
    </x:row>
    <x:row r="130">
      <x:c r="A130" s="14" t="n">
        <x:v>20260509</x:v>
      </x:c>
      <x:c r="B130" s="20" t="str">
        <x:v>2026-05-09</x:v>
      </x:c>
      <x:c r="C130" s="14" t="str">
        <x:v>Saturday</x:v>
      </x:c>
      <x:c r="D130" s="14" t="n">
        <x:v>19</x:v>
      </x:c>
      <x:c r="E130" s="14" t="str">
        <x:v>May</x:v>
      </x:c>
      <x:c r="F130" s="14" t="n">
        <x:v>5</x:v>
      </x:c>
      <x:c r="G130" s="14" t="str">
        <x:v>Q2</x:v>
      </x:c>
      <x:c r="H130" s="14" t="n">
        <x:v>2026</x:v>
      </x:c>
      <x:c r="I130" s="14" t="n">
        <x:v>0</x:v>
      </x:c>
    </x:row>
    <x:row r="131">
      <x:c r="A131" s="14" t="n">
        <x:v>20260510</x:v>
      </x:c>
      <x:c r="B131" s="20" t="str">
        <x:v>2026-05-10</x:v>
      </x:c>
      <x:c r="C131" s="14" t="str">
        <x:v>Sunday</x:v>
      </x:c>
      <x:c r="D131" s="14" t="n">
        <x:v>19</x:v>
      </x:c>
      <x:c r="E131" s="14" t="str">
        <x:v>May</x:v>
      </x:c>
      <x:c r="F131" s="14" t="n">
        <x:v>5</x:v>
      </x:c>
      <x:c r="G131" s="14" t="str">
        <x:v>Q2</x:v>
      </x:c>
      <x:c r="H131" s="14" t="n">
        <x:v>2026</x:v>
      </x:c>
      <x:c r="I131" s="14" t="n">
        <x:v>0</x:v>
      </x:c>
    </x:row>
    <x:row r="132">
      <x:c r="A132" s="14" t="n">
        <x:v>20260511</x:v>
      </x:c>
      <x:c r="B132" s="20" t="str">
        <x:v>2026-05-11</x:v>
      </x:c>
      <x:c r="C132" s="14" t="str">
        <x:v>Monday</x:v>
      </x:c>
      <x:c r="D132" s="14" t="n">
        <x:v>20</x:v>
      </x:c>
      <x:c r="E132" s="14" t="str">
        <x:v>May</x:v>
      </x:c>
      <x:c r="F132" s="14" t="n">
        <x:v>5</x:v>
      </x:c>
      <x:c r="G132" s="14" t="str">
        <x:v>Q2</x:v>
      </x:c>
      <x:c r="H132" s="14" t="n">
        <x:v>2026</x:v>
      </x:c>
      <x:c r="I132" s="14" t="n">
        <x:v>1</x:v>
      </x:c>
    </x:row>
    <x:row r="133">
      <x:c r="A133" s="14" t="n">
        <x:v>20260512</x:v>
      </x:c>
      <x:c r="B133" s="20" t="str">
        <x:v>2026-05-12</x:v>
      </x:c>
      <x:c r="C133" s="14" t="str">
        <x:v>Tuesday</x:v>
      </x:c>
      <x:c r="D133" s="14" t="n">
        <x:v>20</x:v>
      </x:c>
      <x:c r="E133" s="14" t="str">
        <x:v>May</x:v>
      </x:c>
      <x:c r="F133" s="14" t="n">
        <x:v>5</x:v>
      </x:c>
      <x:c r="G133" s="14" t="str">
        <x:v>Q2</x:v>
      </x:c>
      <x:c r="H133" s="14" t="n">
        <x:v>2026</x:v>
      </x:c>
      <x:c r="I133" s="14" t="n">
        <x:v>1</x:v>
      </x:c>
    </x:row>
    <x:row r="134">
      <x:c r="A134" s="14" t="n">
        <x:v>20260513</x:v>
      </x:c>
      <x:c r="B134" s="20" t="str">
        <x:v>2026-05-13</x:v>
      </x:c>
      <x:c r="C134" s="14" t="str">
        <x:v>Wednesday</x:v>
      </x:c>
      <x:c r="D134" s="14" t="n">
        <x:v>20</x:v>
      </x:c>
      <x:c r="E134" s="14" t="str">
        <x:v>May</x:v>
      </x:c>
      <x:c r="F134" s="14" t="n">
        <x:v>5</x:v>
      </x:c>
      <x:c r="G134" s="14" t="str">
        <x:v>Q2</x:v>
      </x:c>
      <x:c r="H134" s="14" t="n">
        <x:v>2026</x:v>
      </x:c>
      <x:c r="I134" s="14" t="n">
        <x:v>1</x:v>
      </x:c>
    </x:row>
    <x:row r="135">
      <x:c r="A135" s="14" t="n">
        <x:v>20260514</x:v>
      </x:c>
      <x:c r="B135" s="20" t="str">
        <x:v>2026-05-14</x:v>
      </x:c>
      <x:c r="C135" s="14" t="str">
        <x:v>Thursday</x:v>
      </x:c>
      <x:c r="D135" s="14" t="n">
        <x:v>20</x:v>
      </x:c>
      <x:c r="E135" s="14" t="str">
        <x:v>May</x:v>
      </x:c>
      <x:c r="F135" s="14" t="n">
        <x:v>5</x:v>
      </x:c>
      <x:c r="G135" s="14" t="str">
        <x:v>Q2</x:v>
      </x:c>
      <x:c r="H135" s="14" t="n">
        <x:v>2026</x:v>
      </x:c>
      <x:c r="I135" s="14" t="n">
        <x:v>1</x:v>
      </x:c>
    </x:row>
    <x:row r="136">
      <x:c r="A136" s="14" t="n">
        <x:v>20260515</x:v>
      </x:c>
      <x:c r="B136" s="20" t="str">
        <x:v>2026-05-15</x:v>
      </x:c>
      <x:c r="C136" s="14" t="str">
        <x:v>Friday</x:v>
      </x:c>
      <x:c r="D136" s="14" t="n">
        <x:v>20</x:v>
      </x:c>
      <x:c r="E136" s="14" t="str">
        <x:v>May</x:v>
      </x:c>
      <x:c r="F136" s="14" t="n">
        <x:v>5</x:v>
      </x:c>
      <x:c r="G136" s="14" t="str">
        <x:v>Q2</x:v>
      </x:c>
      <x:c r="H136" s="14" t="n">
        <x:v>2026</x:v>
      </x:c>
      <x:c r="I136" s="14" t="n">
        <x:v>1</x:v>
      </x:c>
    </x:row>
    <x:row r="137">
      <x:c r="A137" s="14" t="n">
        <x:v>20260516</x:v>
      </x:c>
      <x:c r="B137" s="20" t="str">
        <x:v>2026-05-16</x:v>
      </x:c>
      <x:c r="C137" s="14" t="str">
        <x:v>Saturday</x:v>
      </x:c>
      <x:c r="D137" s="14" t="n">
        <x:v>20</x:v>
      </x:c>
      <x:c r="E137" s="14" t="str">
        <x:v>May</x:v>
      </x:c>
      <x:c r="F137" s="14" t="n">
        <x:v>5</x:v>
      </x:c>
      <x:c r="G137" s="14" t="str">
        <x:v>Q2</x:v>
      </x:c>
      <x:c r="H137" s="14" t="n">
        <x:v>2026</x:v>
      </x:c>
      <x:c r="I137" s="14" t="n">
        <x:v>0</x:v>
      </x:c>
    </x:row>
    <x:row r="138">
      <x:c r="A138" s="14" t="n">
        <x:v>20260517</x:v>
      </x:c>
      <x:c r="B138" s="20" t="str">
        <x:v>2026-05-17</x:v>
      </x:c>
      <x:c r="C138" s="14" t="str">
        <x:v>Sunday</x:v>
      </x:c>
      <x:c r="D138" s="14" t="n">
        <x:v>20</x:v>
      </x:c>
      <x:c r="E138" s="14" t="str">
        <x:v>May</x:v>
      </x:c>
      <x:c r="F138" s="14" t="n">
        <x:v>5</x:v>
      </x:c>
      <x:c r="G138" s="14" t="str">
        <x:v>Q2</x:v>
      </x:c>
      <x:c r="H138" s="14" t="n">
        <x:v>2026</x:v>
      </x:c>
      <x:c r="I138" s="14" t="n">
        <x:v>0</x:v>
      </x:c>
    </x:row>
    <x:row r="139">
      <x:c r="A139" s="14" t="n">
        <x:v>20260518</x:v>
      </x:c>
      <x:c r="B139" s="20" t="str">
        <x:v>2026-05-18</x:v>
      </x:c>
      <x:c r="C139" s="14" t="str">
        <x:v>Monday</x:v>
      </x:c>
      <x:c r="D139" s="14" t="n">
        <x:v>21</x:v>
      </x:c>
      <x:c r="E139" s="14" t="str">
        <x:v>May</x:v>
      </x:c>
      <x:c r="F139" s="14" t="n">
        <x:v>5</x:v>
      </x:c>
      <x:c r="G139" s="14" t="str">
        <x:v>Q2</x:v>
      </x:c>
      <x:c r="H139" s="14" t="n">
        <x:v>2026</x:v>
      </x:c>
      <x:c r="I139" s="14" t="n">
        <x:v>1</x:v>
      </x:c>
    </x:row>
    <x:row r="140">
      <x:c r="A140" s="14" t="n">
        <x:v>20260519</x:v>
      </x:c>
      <x:c r="B140" s="20" t="str">
        <x:v>2026-05-19</x:v>
      </x:c>
      <x:c r="C140" s="14" t="str">
        <x:v>Tuesday</x:v>
      </x:c>
      <x:c r="D140" s="14" t="n">
        <x:v>21</x:v>
      </x:c>
      <x:c r="E140" s="14" t="str">
        <x:v>May</x:v>
      </x:c>
      <x:c r="F140" s="14" t="n">
        <x:v>5</x:v>
      </x:c>
      <x:c r="G140" s="14" t="str">
        <x:v>Q2</x:v>
      </x:c>
      <x:c r="H140" s="14" t="n">
        <x:v>2026</x:v>
      </x:c>
      <x:c r="I140" s="14" t="n">
        <x:v>1</x:v>
      </x:c>
    </x:row>
    <x:row r="141">
      <x:c r="A141" s="14" t="n">
        <x:v>20260520</x:v>
      </x:c>
      <x:c r="B141" s="20" t="str">
        <x:v>2026-05-20</x:v>
      </x:c>
      <x:c r="C141" s="14" t="str">
        <x:v>Wednesday</x:v>
      </x:c>
      <x:c r="D141" s="14" t="n">
        <x:v>21</x:v>
      </x:c>
      <x:c r="E141" s="14" t="str">
        <x:v>May</x:v>
      </x:c>
      <x:c r="F141" s="14" t="n">
        <x:v>5</x:v>
      </x:c>
      <x:c r="G141" s="14" t="str">
        <x:v>Q2</x:v>
      </x:c>
      <x:c r="H141" s="14" t="n">
        <x:v>2026</x:v>
      </x:c>
      <x:c r="I141" s="14" t="n">
        <x:v>1</x:v>
      </x:c>
    </x:row>
    <x:row r="142">
      <x:c r="A142" s="14" t="n">
        <x:v>20260521</x:v>
      </x:c>
      <x:c r="B142" s="20" t="str">
        <x:v>2026-05-21</x:v>
      </x:c>
      <x:c r="C142" s="14" t="str">
        <x:v>Thursday</x:v>
      </x:c>
      <x:c r="D142" s="14" t="n">
        <x:v>21</x:v>
      </x:c>
      <x:c r="E142" s="14" t="str">
        <x:v>May</x:v>
      </x:c>
      <x:c r="F142" s="14" t="n">
        <x:v>5</x:v>
      </x:c>
      <x:c r="G142" s="14" t="str">
        <x:v>Q2</x:v>
      </x:c>
      <x:c r="H142" s="14" t="n">
        <x:v>2026</x:v>
      </x:c>
      <x:c r="I142" s="14" t="n">
        <x:v>1</x:v>
      </x:c>
    </x:row>
    <x:row r="143">
      <x:c r="A143" s="14" t="n">
        <x:v>20260522</x:v>
      </x:c>
      <x:c r="B143" s="20" t="str">
        <x:v>2026-05-22</x:v>
      </x:c>
      <x:c r="C143" s="14" t="str">
        <x:v>Friday</x:v>
      </x:c>
      <x:c r="D143" s="14" t="n">
        <x:v>21</x:v>
      </x:c>
      <x:c r="E143" s="14" t="str">
        <x:v>May</x:v>
      </x:c>
      <x:c r="F143" s="14" t="n">
        <x:v>5</x:v>
      </x:c>
      <x:c r="G143" s="14" t="str">
        <x:v>Q2</x:v>
      </x:c>
      <x:c r="H143" s="14" t="n">
        <x:v>2026</x:v>
      </x:c>
      <x:c r="I143" s="14" t="n">
        <x:v>1</x:v>
      </x:c>
    </x:row>
    <x:row r="144">
      <x:c r="A144" s="14" t="n">
        <x:v>20260523</x:v>
      </x:c>
      <x:c r="B144" s="20" t="str">
        <x:v>2026-05-23</x:v>
      </x:c>
      <x:c r="C144" s="14" t="str">
        <x:v>Saturday</x:v>
      </x:c>
      <x:c r="D144" s="14" t="n">
        <x:v>21</x:v>
      </x:c>
      <x:c r="E144" s="14" t="str">
        <x:v>May</x:v>
      </x:c>
      <x:c r="F144" s="14" t="n">
        <x:v>5</x:v>
      </x:c>
      <x:c r="G144" s="14" t="str">
        <x:v>Q2</x:v>
      </x:c>
      <x:c r="H144" s="14" t="n">
        <x:v>2026</x:v>
      </x:c>
      <x:c r="I144" s="14" t="n">
        <x:v>0</x:v>
      </x:c>
    </x:row>
    <x:row r="145">
      <x:c r="A145" s="14" t="n">
        <x:v>20260524</x:v>
      </x:c>
      <x:c r="B145" s="20" t="str">
        <x:v>2026-05-24</x:v>
      </x:c>
      <x:c r="C145" s="14" t="str">
        <x:v>Sunday</x:v>
      </x:c>
      <x:c r="D145" s="14" t="n">
        <x:v>21</x:v>
      </x:c>
      <x:c r="E145" s="14" t="str">
        <x:v>May</x:v>
      </x:c>
      <x:c r="F145" s="14" t="n">
        <x:v>5</x:v>
      </x:c>
      <x:c r="G145" s="14" t="str">
        <x:v>Q2</x:v>
      </x:c>
      <x:c r="H145" s="14" t="n">
        <x:v>2026</x:v>
      </x:c>
      <x:c r="I145" s="14" t="n">
        <x:v>0</x:v>
      </x:c>
    </x:row>
    <x:row r="146">
      <x:c r="A146" s="14" t="n">
        <x:v>20260525</x:v>
      </x:c>
      <x:c r="B146" s="20" t="str">
        <x:v>2026-05-25</x:v>
      </x:c>
      <x:c r="C146" s="14" t="str">
        <x:v>Monday</x:v>
      </x:c>
      <x:c r="D146" s="14" t="n">
        <x:v>22</x:v>
      </x:c>
      <x:c r="E146" s="14" t="str">
        <x:v>May</x:v>
      </x:c>
      <x:c r="F146" s="14" t="n">
        <x:v>5</x:v>
      </x:c>
      <x:c r="G146" s="14" t="str">
        <x:v>Q2</x:v>
      </x:c>
      <x:c r="H146" s="14" t="n">
        <x:v>2026</x:v>
      </x:c>
      <x:c r="I146" s="14" t="n">
        <x:v>1</x:v>
      </x:c>
    </x:row>
    <x:row r="147">
      <x:c r="A147" s="14" t="n">
        <x:v>20260526</x:v>
      </x:c>
      <x:c r="B147" s="20" t="str">
        <x:v>2026-05-26</x:v>
      </x:c>
      <x:c r="C147" s="14" t="str">
        <x:v>Tuesday</x:v>
      </x:c>
      <x:c r="D147" s="14" t="n">
        <x:v>22</x:v>
      </x:c>
      <x:c r="E147" s="14" t="str">
        <x:v>May</x:v>
      </x:c>
      <x:c r="F147" s="14" t="n">
        <x:v>5</x:v>
      </x:c>
      <x:c r="G147" s="14" t="str">
        <x:v>Q2</x:v>
      </x:c>
      <x:c r="H147" s="14" t="n">
        <x:v>2026</x:v>
      </x:c>
      <x:c r="I147" s="14" t="n">
        <x:v>1</x:v>
      </x:c>
    </x:row>
    <x:row r="148">
      <x:c r="A148" s="14" t="n">
        <x:v>20260527</x:v>
      </x:c>
      <x:c r="B148" s="20" t="str">
        <x:v>2026-05-27</x:v>
      </x:c>
      <x:c r="C148" s="14" t="str">
        <x:v>Wednesday</x:v>
      </x:c>
      <x:c r="D148" s="14" t="n">
        <x:v>22</x:v>
      </x:c>
      <x:c r="E148" s="14" t="str">
        <x:v>May</x:v>
      </x:c>
      <x:c r="F148" s="14" t="n">
        <x:v>5</x:v>
      </x:c>
      <x:c r="G148" s="14" t="str">
        <x:v>Q2</x:v>
      </x:c>
      <x:c r="H148" s="14" t="n">
        <x:v>2026</x:v>
      </x:c>
      <x:c r="I148" s="14" t="n">
        <x:v>1</x:v>
      </x:c>
    </x:row>
    <x:row r="149">
      <x:c r="A149" s="14" t="n">
        <x:v>20260528</x:v>
      </x:c>
      <x:c r="B149" s="20" t="str">
        <x:v>2026-05-28</x:v>
      </x:c>
      <x:c r="C149" s="14" t="str">
        <x:v>Thursday</x:v>
      </x:c>
      <x:c r="D149" s="14" t="n">
        <x:v>22</x:v>
      </x:c>
      <x:c r="E149" s="14" t="str">
        <x:v>May</x:v>
      </x:c>
      <x:c r="F149" s="14" t="n">
        <x:v>5</x:v>
      </x:c>
      <x:c r="G149" s="14" t="str">
        <x:v>Q2</x:v>
      </x:c>
      <x:c r="H149" s="14" t="n">
        <x:v>2026</x:v>
      </x:c>
      <x:c r="I149" s="14" t="n">
        <x:v>1</x:v>
      </x:c>
    </x:row>
    <x:row r="150">
      <x:c r="A150" s="14" t="n">
        <x:v>20260529</x:v>
      </x:c>
      <x:c r="B150" s="20" t="str">
        <x:v>2026-05-29</x:v>
      </x:c>
      <x:c r="C150" s="14" t="str">
        <x:v>Friday</x:v>
      </x:c>
      <x:c r="D150" s="14" t="n">
        <x:v>22</x:v>
      </x:c>
      <x:c r="E150" s="14" t="str">
        <x:v>May</x:v>
      </x:c>
      <x:c r="F150" s="14" t="n">
        <x:v>5</x:v>
      </x:c>
      <x:c r="G150" s="14" t="str">
        <x:v>Q2</x:v>
      </x:c>
      <x:c r="H150" s="14" t="n">
        <x:v>2026</x:v>
      </x:c>
      <x:c r="I150" s="14" t="n">
        <x:v>1</x:v>
      </x:c>
    </x:row>
    <x:row r="151">
      <x:c r="A151" s="14" t="n">
        <x:v>20260530</x:v>
      </x:c>
      <x:c r="B151" s="20" t="str">
        <x:v>2026-05-30</x:v>
      </x:c>
      <x:c r="C151" s="14" t="str">
        <x:v>Saturday</x:v>
      </x:c>
      <x:c r="D151" s="14" t="n">
        <x:v>22</x:v>
      </x:c>
      <x:c r="E151" s="14" t="str">
        <x:v>May</x:v>
      </x:c>
      <x:c r="F151" s="14" t="n">
        <x:v>5</x:v>
      </x:c>
      <x:c r="G151" s="14" t="str">
        <x:v>Q2</x:v>
      </x:c>
      <x:c r="H151" s="14" t="n">
        <x:v>2026</x:v>
      </x:c>
      <x:c r="I151" s="14" t="n">
        <x:v>0</x:v>
      </x:c>
    </x:row>
    <x:row r="152">
      <x:c r="A152" s="14" t="n">
        <x:v>20260531</x:v>
      </x:c>
      <x:c r="B152" s="20" t="str">
        <x:v>2026-05-31</x:v>
      </x:c>
      <x:c r="C152" s="14" t="str">
        <x:v>Sunday</x:v>
      </x:c>
      <x:c r="D152" s="14" t="n">
        <x:v>22</x:v>
      </x:c>
      <x:c r="E152" s="14" t="str">
        <x:v>May</x:v>
      </x:c>
      <x:c r="F152" s="14" t="n">
        <x:v>5</x:v>
      </x:c>
      <x:c r="G152" s="14" t="str">
        <x:v>Q2</x:v>
      </x:c>
      <x:c r="H152" s="14" t="n">
        <x:v>2026</x:v>
      </x:c>
      <x:c r="I152" s="14" t="n">
        <x:v>0</x:v>
      </x:c>
    </x:row>
    <x:row r="153">
      <x:c r="A153" s="14" t="n">
        <x:v>20260601</x:v>
      </x:c>
      <x:c r="B153" s="20" t="str">
        <x:v>2026-06-01</x:v>
      </x:c>
      <x:c r="C153" s="14" t="str">
        <x:v>Monday</x:v>
      </x:c>
      <x:c r="D153" s="14" t="n">
        <x:v>23</x:v>
      </x:c>
      <x:c r="E153" s="14" t="str">
        <x:v>June</x:v>
      </x:c>
      <x:c r="F153" s="14" t="n">
        <x:v>6</x:v>
      </x:c>
      <x:c r="G153" s="14" t="str">
        <x:v>Q2</x:v>
      </x:c>
      <x:c r="H153" s="14" t="n">
        <x:v>2026</x:v>
      </x:c>
      <x:c r="I153" s="14" t="n">
        <x:v>1</x:v>
      </x:c>
    </x:row>
    <x:row r="154">
      <x:c r="A154" s="14" t="n">
        <x:v>20260602</x:v>
      </x:c>
      <x:c r="B154" s="20" t="str">
        <x:v>2026-06-02</x:v>
      </x:c>
      <x:c r="C154" s="14" t="str">
        <x:v>Tuesday</x:v>
      </x:c>
      <x:c r="D154" s="14" t="n">
        <x:v>23</x:v>
      </x:c>
      <x:c r="E154" s="14" t="str">
        <x:v>June</x:v>
      </x:c>
      <x:c r="F154" s="14" t="n">
        <x:v>6</x:v>
      </x:c>
      <x:c r="G154" s="14" t="str">
        <x:v>Q2</x:v>
      </x:c>
      <x:c r="H154" s="14" t="n">
        <x:v>2026</x:v>
      </x:c>
      <x:c r="I154" s="14" t="n">
        <x:v>1</x:v>
      </x:c>
    </x:row>
    <x:row r="155">
      <x:c r="A155" s="14" t="n">
        <x:v>20260603</x:v>
      </x:c>
      <x:c r="B155" s="20" t="str">
        <x:v>2026-06-03</x:v>
      </x:c>
      <x:c r="C155" s="14" t="str">
        <x:v>Wednesday</x:v>
      </x:c>
      <x:c r="D155" s="14" t="n">
        <x:v>23</x:v>
      </x:c>
      <x:c r="E155" s="14" t="str">
        <x:v>June</x:v>
      </x:c>
      <x:c r="F155" s="14" t="n">
        <x:v>6</x:v>
      </x:c>
      <x:c r="G155" s="14" t="str">
        <x:v>Q2</x:v>
      </x:c>
      <x:c r="H155" s="14" t="n">
        <x:v>2026</x:v>
      </x:c>
      <x:c r="I155" s="14" t="n">
        <x:v>1</x:v>
      </x:c>
    </x:row>
    <x:row r="156">
      <x:c r="A156" s="14" t="n">
        <x:v>20260604</x:v>
      </x:c>
      <x:c r="B156" s="20" t="str">
        <x:v>2026-06-04</x:v>
      </x:c>
      <x:c r="C156" s="14" t="str">
        <x:v>Thursday</x:v>
      </x:c>
      <x:c r="D156" s="14" t="n">
        <x:v>23</x:v>
      </x:c>
      <x:c r="E156" s="14" t="str">
        <x:v>June</x:v>
      </x:c>
      <x:c r="F156" s="14" t="n">
        <x:v>6</x:v>
      </x:c>
      <x:c r="G156" s="14" t="str">
        <x:v>Q2</x:v>
      </x:c>
      <x:c r="H156" s="14" t="n">
        <x:v>2026</x:v>
      </x:c>
      <x:c r="I156" s="14" t="n">
        <x:v>1</x:v>
      </x:c>
    </x:row>
    <x:row r="157">
      <x:c r="A157" s="14" t="n">
        <x:v>20260605</x:v>
      </x:c>
      <x:c r="B157" s="20" t="str">
        <x:v>2026-06-05</x:v>
      </x:c>
      <x:c r="C157" s="14" t="str">
        <x:v>Friday</x:v>
      </x:c>
      <x:c r="D157" s="14" t="n">
        <x:v>23</x:v>
      </x:c>
      <x:c r="E157" s="14" t="str">
        <x:v>June</x:v>
      </x:c>
      <x:c r="F157" s="14" t="n">
        <x:v>6</x:v>
      </x:c>
      <x:c r="G157" s="14" t="str">
        <x:v>Q2</x:v>
      </x:c>
      <x:c r="H157" s="14" t="n">
        <x:v>2026</x:v>
      </x:c>
      <x:c r="I157" s="14" t="n">
        <x:v>1</x:v>
      </x:c>
    </x:row>
    <x:row r="158">
      <x:c r="A158" s="14" t="n">
        <x:v>20260606</x:v>
      </x:c>
      <x:c r="B158" s="20" t="str">
        <x:v>2026-06-06</x:v>
      </x:c>
      <x:c r="C158" s="14" t="str">
        <x:v>Saturday</x:v>
      </x:c>
      <x:c r="D158" s="14" t="n">
        <x:v>23</x:v>
      </x:c>
      <x:c r="E158" s="14" t="str">
        <x:v>June</x:v>
      </x:c>
      <x:c r="F158" s="14" t="n">
        <x:v>6</x:v>
      </x:c>
      <x:c r="G158" s="14" t="str">
        <x:v>Q2</x:v>
      </x:c>
      <x:c r="H158" s="14" t="n">
        <x:v>2026</x:v>
      </x:c>
      <x:c r="I158" s="14" t="n">
        <x:v>0</x:v>
      </x:c>
    </x:row>
    <x:row r="159">
      <x:c r="A159" s="14" t="n">
        <x:v>20260607</x:v>
      </x:c>
      <x:c r="B159" s="20" t="str">
        <x:v>2026-06-07</x:v>
      </x:c>
      <x:c r="C159" s="14" t="str">
        <x:v>Sunday</x:v>
      </x:c>
      <x:c r="D159" s="14" t="n">
        <x:v>23</x:v>
      </x:c>
      <x:c r="E159" s="14" t="str">
        <x:v>June</x:v>
      </x:c>
      <x:c r="F159" s="14" t="n">
        <x:v>6</x:v>
      </x:c>
      <x:c r="G159" s="14" t="str">
        <x:v>Q2</x:v>
      </x:c>
      <x:c r="H159" s="14" t="n">
        <x:v>2026</x:v>
      </x:c>
      <x:c r="I159" s="14" t="n">
        <x:v>0</x:v>
      </x:c>
    </x:row>
    <x:row r="160">
      <x:c r="A160" s="14" t="n">
        <x:v>20260608</x:v>
      </x:c>
      <x:c r="B160" s="20" t="str">
        <x:v>2026-06-08</x:v>
      </x:c>
      <x:c r="C160" s="14" t="str">
        <x:v>Monday</x:v>
      </x:c>
      <x:c r="D160" s="14" t="n">
        <x:v>24</x:v>
      </x:c>
      <x:c r="E160" s="14" t="str">
        <x:v>June</x:v>
      </x:c>
      <x:c r="F160" s="14" t="n">
        <x:v>6</x:v>
      </x:c>
      <x:c r="G160" s="14" t="str">
        <x:v>Q2</x:v>
      </x:c>
      <x:c r="H160" s="14" t="n">
        <x:v>2026</x:v>
      </x:c>
      <x:c r="I160" s="14" t="n">
        <x:v>1</x:v>
      </x:c>
    </x:row>
    <x:row r="161">
      <x:c r="A161" s="14" t="n">
        <x:v>20260609</x:v>
      </x:c>
      <x:c r="B161" s="20" t="str">
        <x:v>2026-06-09</x:v>
      </x:c>
      <x:c r="C161" s="14" t="str">
        <x:v>Tuesday</x:v>
      </x:c>
      <x:c r="D161" s="14" t="n">
        <x:v>24</x:v>
      </x:c>
      <x:c r="E161" s="14" t="str">
        <x:v>June</x:v>
      </x:c>
      <x:c r="F161" s="14" t="n">
        <x:v>6</x:v>
      </x:c>
      <x:c r="G161" s="14" t="str">
        <x:v>Q2</x:v>
      </x:c>
      <x:c r="H161" s="14" t="n">
        <x:v>2026</x:v>
      </x:c>
      <x:c r="I161" s="14" t="n">
        <x:v>1</x:v>
      </x:c>
    </x:row>
    <x:row r="162">
      <x:c r="A162" s="14" t="n">
        <x:v>20260610</x:v>
      </x:c>
      <x:c r="B162" s="20" t="str">
        <x:v>2026-06-10</x:v>
      </x:c>
      <x:c r="C162" s="14" t="str">
        <x:v>Wednesday</x:v>
      </x:c>
      <x:c r="D162" s="14" t="n">
        <x:v>24</x:v>
      </x:c>
      <x:c r="E162" s="14" t="str">
        <x:v>June</x:v>
      </x:c>
      <x:c r="F162" s="14" t="n">
        <x:v>6</x:v>
      </x:c>
      <x:c r="G162" s="14" t="str">
        <x:v>Q2</x:v>
      </x:c>
      <x:c r="H162" s="14" t="n">
        <x:v>2026</x:v>
      </x:c>
      <x:c r="I162" s="14" t="n">
        <x:v>1</x:v>
      </x:c>
    </x:row>
    <x:row r="163">
      <x:c r="A163" s="14" t="n">
        <x:v>20260611</x:v>
      </x:c>
      <x:c r="B163" s="20" t="str">
        <x:v>2026-06-11</x:v>
      </x:c>
      <x:c r="C163" s="14" t="str">
        <x:v>Thursday</x:v>
      </x:c>
      <x:c r="D163" s="14" t="n">
        <x:v>24</x:v>
      </x:c>
      <x:c r="E163" s="14" t="str">
        <x:v>June</x:v>
      </x:c>
      <x:c r="F163" s="14" t="n">
        <x:v>6</x:v>
      </x:c>
      <x:c r="G163" s="14" t="str">
        <x:v>Q2</x:v>
      </x:c>
      <x:c r="H163" s="14" t="n">
        <x:v>2026</x:v>
      </x:c>
      <x:c r="I163" s="14" t="n">
        <x:v>1</x:v>
      </x:c>
    </x:row>
    <x:row r="164">
      <x:c r="A164" s="14" t="n">
        <x:v>20260612</x:v>
      </x:c>
      <x:c r="B164" s="20" t="str">
        <x:v>2026-06-12</x:v>
      </x:c>
      <x:c r="C164" s="14" t="str">
        <x:v>Friday</x:v>
      </x:c>
      <x:c r="D164" s="14" t="n">
        <x:v>24</x:v>
      </x:c>
      <x:c r="E164" s="14" t="str">
        <x:v>June</x:v>
      </x:c>
      <x:c r="F164" s="14" t="n">
        <x:v>6</x:v>
      </x:c>
      <x:c r="G164" s="14" t="str">
        <x:v>Q2</x:v>
      </x:c>
      <x:c r="H164" s="14" t="n">
        <x:v>2026</x:v>
      </x:c>
      <x:c r="I164" s="14" t="n">
        <x:v>1</x:v>
      </x:c>
    </x:row>
    <x:row r="165">
      <x:c r="A165" s="14" t="n">
        <x:v>20260613</x:v>
      </x:c>
      <x:c r="B165" s="20" t="str">
        <x:v>2026-06-13</x:v>
      </x:c>
      <x:c r="C165" s="14" t="str">
        <x:v>Saturday</x:v>
      </x:c>
      <x:c r="D165" s="14" t="n">
        <x:v>24</x:v>
      </x:c>
      <x:c r="E165" s="14" t="str">
        <x:v>June</x:v>
      </x:c>
      <x:c r="F165" s="14" t="n">
        <x:v>6</x:v>
      </x:c>
      <x:c r="G165" s="14" t="str">
        <x:v>Q2</x:v>
      </x:c>
      <x:c r="H165" s="14" t="n">
        <x:v>2026</x:v>
      </x:c>
      <x:c r="I165" s="14" t="n">
        <x:v>0</x:v>
      </x:c>
    </x:row>
    <x:row r="166">
      <x:c r="A166" s="14" t="n">
        <x:v>20260614</x:v>
      </x:c>
      <x:c r="B166" s="20" t="str">
        <x:v>2026-06-14</x:v>
      </x:c>
      <x:c r="C166" s="14" t="str">
        <x:v>Sunday</x:v>
      </x:c>
      <x:c r="D166" s="14" t="n">
        <x:v>24</x:v>
      </x:c>
      <x:c r="E166" s="14" t="str">
        <x:v>June</x:v>
      </x:c>
      <x:c r="F166" s="14" t="n">
        <x:v>6</x:v>
      </x:c>
      <x:c r="G166" s="14" t="str">
        <x:v>Q2</x:v>
      </x:c>
      <x:c r="H166" s="14" t="n">
        <x:v>2026</x:v>
      </x:c>
      <x:c r="I166" s="14" t="n">
        <x:v>0</x:v>
      </x:c>
    </x:row>
    <x:row r="167">
      <x:c r="A167" s="14" t="n">
        <x:v>20260615</x:v>
      </x:c>
      <x:c r="B167" s="20" t="str">
        <x:v>2026-06-15</x:v>
      </x:c>
      <x:c r="C167" s="14" t="str">
        <x:v>Monday</x:v>
      </x:c>
      <x:c r="D167" s="14" t="n">
        <x:v>25</x:v>
      </x:c>
      <x:c r="E167" s="14" t="str">
        <x:v>June</x:v>
      </x:c>
      <x:c r="F167" s="14" t="n">
        <x:v>6</x:v>
      </x:c>
      <x:c r="G167" s="14" t="str">
        <x:v>Q2</x:v>
      </x:c>
      <x:c r="H167" s="14" t="n">
        <x:v>2026</x:v>
      </x:c>
      <x:c r="I167" s="14" t="n">
        <x:v>1</x:v>
      </x:c>
    </x:row>
    <x:row r="168">
      <x:c r="A168" s="14" t="n">
        <x:v>20260616</x:v>
      </x:c>
      <x:c r="B168" s="20" t="str">
        <x:v>2026-06-16</x:v>
      </x:c>
      <x:c r="C168" s="14" t="str">
        <x:v>Tuesday</x:v>
      </x:c>
      <x:c r="D168" s="14" t="n">
        <x:v>25</x:v>
      </x:c>
      <x:c r="E168" s="14" t="str">
        <x:v>June</x:v>
      </x:c>
      <x:c r="F168" s="14" t="n">
        <x:v>6</x:v>
      </x:c>
      <x:c r="G168" s="14" t="str">
        <x:v>Q2</x:v>
      </x:c>
      <x:c r="H168" s="14" t="n">
        <x:v>2026</x:v>
      </x:c>
      <x:c r="I168" s="14" t="n">
        <x:v>1</x:v>
      </x:c>
    </x:row>
    <x:row r="169">
      <x:c r="A169" s="14" t="n">
        <x:v>20260617</x:v>
      </x:c>
      <x:c r="B169" s="20" t="str">
        <x:v>2026-06-17</x:v>
      </x:c>
      <x:c r="C169" s="14" t="str">
        <x:v>Wednesday</x:v>
      </x:c>
      <x:c r="D169" s="14" t="n">
        <x:v>25</x:v>
      </x:c>
      <x:c r="E169" s="14" t="str">
        <x:v>June</x:v>
      </x:c>
      <x:c r="F169" s="14" t="n">
        <x:v>6</x:v>
      </x:c>
      <x:c r="G169" s="14" t="str">
        <x:v>Q2</x:v>
      </x:c>
      <x:c r="H169" s="14" t="n">
        <x:v>2026</x:v>
      </x:c>
      <x:c r="I169" s="14" t="n">
        <x:v>1</x:v>
      </x:c>
    </x:row>
    <x:row r="170">
      <x:c r="A170" s="14" t="n">
        <x:v>20260618</x:v>
      </x:c>
      <x:c r="B170" s="20" t="str">
        <x:v>2026-06-18</x:v>
      </x:c>
      <x:c r="C170" s="14" t="str">
        <x:v>Thursday</x:v>
      </x:c>
      <x:c r="D170" s="14" t="n">
        <x:v>25</x:v>
      </x:c>
      <x:c r="E170" s="14" t="str">
        <x:v>June</x:v>
      </x:c>
      <x:c r="F170" s="14" t="n">
        <x:v>6</x:v>
      </x:c>
      <x:c r="G170" s="14" t="str">
        <x:v>Q2</x:v>
      </x:c>
      <x:c r="H170" s="14" t="n">
        <x:v>2026</x:v>
      </x:c>
      <x:c r="I170" s="14" t="n">
        <x:v>1</x:v>
      </x:c>
    </x:row>
    <x:row r="171">
      <x:c r="A171" s="14" t="n">
        <x:v>20260619</x:v>
      </x:c>
      <x:c r="B171" s="20" t="str">
        <x:v>2026-06-19</x:v>
      </x:c>
      <x:c r="C171" s="14" t="str">
        <x:v>Friday</x:v>
      </x:c>
      <x:c r="D171" s="14" t="n">
        <x:v>25</x:v>
      </x:c>
      <x:c r="E171" s="14" t="str">
        <x:v>June</x:v>
      </x:c>
      <x:c r="F171" s="14" t="n">
        <x:v>6</x:v>
      </x:c>
      <x:c r="G171" s="14" t="str">
        <x:v>Q2</x:v>
      </x:c>
      <x:c r="H171" s="14" t="n">
        <x:v>2026</x:v>
      </x:c>
      <x:c r="I171" s="14" t="n">
        <x:v>1</x:v>
      </x:c>
    </x:row>
    <x:row r="172">
      <x:c r="A172" s="14" t="n">
        <x:v>20260620</x:v>
      </x:c>
      <x:c r="B172" s="20" t="str">
        <x:v>2026-06-20</x:v>
      </x:c>
      <x:c r="C172" s="14" t="str">
        <x:v>Saturday</x:v>
      </x:c>
      <x:c r="D172" s="14" t="n">
        <x:v>25</x:v>
      </x:c>
      <x:c r="E172" s="14" t="str">
        <x:v>June</x:v>
      </x:c>
      <x:c r="F172" s="14" t="n">
        <x:v>6</x:v>
      </x:c>
      <x:c r="G172" s="14" t="str">
        <x:v>Q2</x:v>
      </x:c>
      <x:c r="H172" s="14" t="n">
        <x:v>2026</x:v>
      </x:c>
      <x:c r="I172" s="14" t="n">
        <x:v>0</x:v>
      </x:c>
    </x:row>
    <x:row r="173">
      <x:c r="A173" s="14" t="n">
        <x:v>20260621</x:v>
      </x:c>
      <x:c r="B173" s="20" t="str">
        <x:v>2026-06-21</x:v>
      </x:c>
      <x:c r="C173" s="14" t="str">
        <x:v>Sunday</x:v>
      </x:c>
      <x:c r="D173" s="14" t="n">
        <x:v>25</x:v>
      </x:c>
      <x:c r="E173" s="14" t="str">
        <x:v>June</x:v>
      </x:c>
      <x:c r="F173" s="14" t="n">
        <x:v>6</x:v>
      </x:c>
      <x:c r="G173" s="14" t="str">
        <x:v>Q2</x:v>
      </x:c>
      <x:c r="H173" s="14" t="n">
        <x:v>2026</x:v>
      </x:c>
      <x:c r="I173" s="14" t="n">
        <x:v>0</x:v>
      </x:c>
    </x:row>
    <x:row r="174">
      <x:c r="A174" s="14" t="n">
        <x:v>20260622</x:v>
      </x:c>
      <x:c r="B174" s="20" t="str">
        <x:v>2026-06-22</x:v>
      </x:c>
      <x:c r="C174" s="14" t="str">
        <x:v>Monday</x:v>
      </x:c>
      <x:c r="D174" s="14" t="n">
        <x:v>26</x:v>
      </x:c>
      <x:c r="E174" s="14" t="str">
        <x:v>June</x:v>
      </x:c>
      <x:c r="F174" s="14" t="n">
        <x:v>6</x:v>
      </x:c>
      <x:c r="G174" s="14" t="str">
        <x:v>Q2</x:v>
      </x:c>
      <x:c r="H174" s="14" t="n">
        <x:v>2026</x:v>
      </x:c>
      <x:c r="I174" s="14" t="n">
        <x:v>1</x:v>
      </x:c>
    </x:row>
    <x:row r="175">
      <x:c r="A175" s="14" t="n">
        <x:v>20260623</x:v>
      </x:c>
      <x:c r="B175" s="20" t="str">
        <x:v>2026-06-23</x:v>
      </x:c>
      <x:c r="C175" s="14" t="str">
        <x:v>Tuesday</x:v>
      </x:c>
      <x:c r="D175" s="14" t="n">
        <x:v>26</x:v>
      </x:c>
      <x:c r="E175" s="14" t="str">
        <x:v>June</x:v>
      </x:c>
      <x:c r="F175" s="14" t="n">
        <x:v>6</x:v>
      </x:c>
      <x:c r="G175" s="14" t="str">
        <x:v>Q2</x:v>
      </x:c>
      <x:c r="H175" s="14" t="n">
        <x:v>2026</x:v>
      </x:c>
      <x:c r="I175" s="14" t="n">
        <x:v>1</x:v>
      </x:c>
    </x:row>
    <x:row r="176">
      <x:c r="A176" s="14" t="n">
        <x:v>20260624</x:v>
      </x:c>
      <x:c r="B176" s="20" t="str">
        <x:v>2026-06-24</x:v>
      </x:c>
      <x:c r="C176" s="14" t="str">
        <x:v>Wednesday</x:v>
      </x:c>
      <x:c r="D176" s="14" t="n">
        <x:v>26</x:v>
      </x:c>
      <x:c r="E176" s="14" t="str">
        <x:v>June</x:v>
      </x:c>
      <x:c r="F176" s="14" t="n">
        <x:v>6</x:v>
      </x:c>
      <x:c r="G176" s="14" t="str">
        <x:v>Q2</x:v>
      </x:c>
      <x:c r="H176" s="14" t="n">
        <x:v>2026</x:v>
      </x:c>
      <x:c r="I176" s="14" t="n">
        <x:v>1</x:v>
      </x:c>
    </x:row>
    <x:row r="177">
      <x:c r="A177" s="14" t="n">
        <x:v>20260625</x:v>
      </x:c>
      <x:c r="B177" s="20" t="str">
        <x:v>2026-06-25</x:v>
      </x:c>
      <x:c r="C177" s="14" t="str">
        <x:v>Thursday</x:v>
      </x:c>
      <x:c r="D177" s="14" t="n">
        <x:v>26</x:v>
      </x:c>
      <x:c r="E177" s="14" t="str">
        <x:v>June</x:v>
      </x:c>
      <x:c r="F177" s="14" t="n">
        <x:v>6</x:v>
      </x:c>
      <x:c r="G177" s="14" t="str">
        <x:v>Q2</x:v>
      </x:c>
      <x:c r="H177" s="14" t="n">
        <x:v>2026</x:v>
      </x:c>
      <x:c r="I177" s="14" t="n">
        <x:v>1</x:v>
      </x:c>
    </x:row>
    <x:row r="178">
      <x:c r="A178" s="14" t="n">
        <x:v>20260626</x:v>
      </x:c>
      <x:c r="B178" s="20" t="str">
        <x:v>2026-06-26</x:v>
      </x:c>
      <x:c r="C178" s="14" t="str">
        <x:v>Friday</x:v>
      </x:c>
      <x:c r="D178" s="14" t="n">
        <x:v>26</x:v>
      </x:c>
      <x:c r="E178" s="14" t="str">
        <x:v>June</x:v>
      </x:c>
      <x:c r="F178" s="14" t="n">
        <x:v>6</x:v>
      </x:c>
      <x:c r="G178" s="14" t="str">
        <x:v>Q2</x:v>
      </x:c>
      <x:c r="H178" s="14" t="n">
        <x:v>2026</x:v>
      </x:c>
      <x:c r="I178" s="14" t="n">
        <x:v>1</x:v>
      </x:c>
    </x:row>
    <x:row r="179">
      <x:c r="A179" s="14" t="n">
        <x:v>20260627</x:v>
      </x:c>
      <x:c r="B179" s="20" t="str">
        <x:v>2026-06-27</x:v>
      </x:c>
      <x:c r="C179" s="14" t="str">
        <x:v>Saturday</x:v>
      </x:c>
      <x:c r="D179" s="14" t="n">
        <x:v>26</x:v>
      </x:c>
      <x:c r="E179" s="14" t="str">
        <x:v>June</x:v>
      </x:c>
      <x:c r="F179" s="14" t="n">
        <x:v>6</x:v>
      </x:c>
      <x:c r="G179" s="14" t="str">
        <x:v>Q2</x:v>
      </x:c>
      <x:c r="H179" s="14" t="n">
        <x:v>2026</x:v>
      </x:c>
      <x:c r="I179" s="14" t="n">
        <x:v>0</x:v>
      </x:c>
    </x:row>
    <x:row r="180">
      <x:c r="A180" s="14" t="n">
        <x:v>20260628</x:v>
      </x:c>
      <x:c r="B180" s="20" t="str">
        <x:v>2026-06-28</x:v>
      </x:c>
      <x:c r="C180" s="14" t="str">
        <x:v>Sunday</x:v>
      </x:c>
      <x:c r="D180" s="14" t="n">
        <x:v>26</x:v>
      </x:c>
      <x:c r="E180" s="14" t="str">
        <x:v>June</x:v>
      </x:c>
      <x:c r="F180" s="14" t="n">
        <x:v>6</x:v>
      </x:c>
      <x:c r="G180" s="14" t="str">
        <x:v>Q2</x:v>
      </x:c>
      <x:c r="H180" s="14" t="n">
        <x:v>2026</x:v>
      </x:c>
      <x:c r="I180" s="14" t="n">
        <x:v>0</x:v>
      </x:c>
    </x:row>
    <x:row r="181">
      <x:c r="A181" s="14" t="n">
        <x:v>20260629</x:v>
      </x:c>
      <x:c r="B181" s="20" t="str">
        <x:v>2026-06-29</x:v>
      </x:c>
      <x:c r="C181" s="14" t="str">
        <x:v>Monday</x:v>
      </x:c>
      <x:c r="D181" s="14" t="n">
        <x:v>27</x:v>
      </x:c>
      <x:c r="E181" s="14" t="str">
        <x:v>June</x:v>
      </x:c>
      <x:c r="F181" s="14" t="n">
        <x:v>6</x:v>
      </x:c>
      <x:c r="G181" s="14" t="str">
        <x:v>Q2</x:v>
      </x:c>
      <x:c r="H181" s="14" t="n">
        <x:v>2026</x:v>
      </x:c>
      <x:c r="I181" s="14" t="n">
        <x:v>1</x:v>
      </x:c>
    </x:row>
    <x:row r="182">
      <x:c r="A182" s="14" t="n">
        <x:v>20260630</x:v>
      </x:c>
      <x:c r="B182" s="20" t="str">
        <x:v>2026-06-30</x:v>
      </x:c>
      <x:c r="C182" s="14" t="str">
        <x:v>Tuesday</x:v>
      </x:c>
      <x:c r="D182" s="14" t="n">
        <x:v>27</x:v>
      </x:c>
      <x:c r="E182" s="14" t="str">
        <x:v>June</x:v>
      </x:c>
      <x:c r="F182" s="14" t="n">
        <x:v>6</x:v>
      </x:c>
      <x:c r="G182" s="14" t="str">
        <x:v>Q2</x:v>
      </x:c>
      <x:c r="H182" s="14" t="n">
        <x:v>2026</x:v>
      </x:c>
      <x:c r="I182" s="14" t="n">
        <x:v>1</x:v>
      </x:c>
    </x:row>
    <x:row r="183">
      <x:c r="A183" s="14" t="n">
        <x:v>20260701</x:v>
      </x:c>
      <x:c r="B183" s="20" t="str">
        <x:v>2026-07-01</x:v>
      </x:c>
      <x:c r="C183" s="14" t="str">
        <x:v>Wednesday</x:v>
      </x:c>
      <x:c r="D183" s="14" t="n">
        <x:v>27</x:v>
      </x:c>
      <x:c r="E183" s="14" t="str">
        <x:v>July</x:v>
      </x:c>
      <x:c r="F183" s="14" t="n">
        <x:v>7</x:v>
      </x:c>
      <x:c r="G183" s="14" t="str">
        <x:v>Q3</x:v>
      </x:c>
      <x:c r="H183" s="14" t="n">
        <x:v>2026</x:v>
      </x:c>
      <x:c r="I183" s="14" t="n">
        <x:v>1</x:v>
      </x:c>
    </x:row>
    <x:row r="184">
      <x:c r="A184" s="14" t="n">
        <x:v>20260702</x:v>
      </x:c>
      <x:c r="B184" s="20" t="str">
        <x:v>2026-07-02</x:v>
      </x:c>
      <x:c r="C184" s="14" t="str">
        <x:v>Thursday</x:v>
      </x:c>
      <x:c r="D184" s="14" t="n">
        <x:v>27</x:v>
      </x:c>
      <x:c r="E184" s="14" t="str">
        <x:v>July</x:v>
      </x:c>
      <x:c r="F184" s="14" t="n">
        <x:v>7</x:v>
      </x:c>
      <x:c r="G184" s="14" t="str">
        <x:v>Q3</x:v>
      </x:c>
      <x:c r="H184" s="14" t="n">
        <x:v>2026</x:v>
      </x:c>
      <x:c r="I184" s="14" t="n">
        <x:v>1</x:v>
      </x:c>
    </x:row>
    <x:row r="185">
      <x:c r="A185" s="14" t="n">
        <x:v>20260703</x:v>
      </x:c>
      <x:c r="B185" s="20" t="str">
        <x:v>2026-07-03</x:v>
      </x:c>
      <x:c r="C185" s="14" t="str">
        <x:v>Friday</x:v>
      </x:c>
      <x:c r="D185" s="14" t="n">
        <x:v>27</x:v>
      </x:c>
      <x:c r="E185" s="14" t="str">
        <x:v>July</x:v>
      </x:c>
      <x:c r="F185" s="14" t="n">
        <x:v>7</x:v>
      </x:c>
      <x:c r="G185" s="14" t="str">
        <x:v>Q3</x:v>
      </x:c>
      <x:c r="H185" s="14" t="n">
        <x:v>2026</x:v>
      </x:c>
      <x:c r="I185" s="14" t="n">
        <x:v>1</x:v>
      </x:c>
    </x:row>
    <x:row r="186">
      <x:c r="A186" s="14" t="n">
        <x:v>20260704</x:v>
      </x:c>
      <x:c r="B186" s="20" t="str">
        <x:v>2026-07-04</x:v>
      </x:c>
      <x:c r="C186" s="14" t="str">
        <x:v>Saturday</x:v>
      </x:c>
      <x:c r="D186" s="14" t="n">
        <x:v>27</x:v>
      </x:c>
      <x:c r="E186" s="14" t="str">
        <x:v>July</x:v>
      </x:c>
      <x:c r="F186" s="14" t="n">
        <x:v>7</x:v>
      </x:c>
      <x:c r="G186" s="14" t="str">
        <x:v>Q3</x:v>
      </x:c>
      <x:c r="H186" s="14" t="n">
        <x:v>2026</x:v>
      </x:c>
      <x:c r="I186" s="14" t="n">
        <x:v>0</x:v>
      </x:c>
    </x:row>
    <x:row r="187">
      <x:c r="A187" s="14" t="n">
        <x:v>20260705</x:v>
      </x:c>
      <x:c r="B187" s="20" t="str">
        <x:v>2026-07-05</x:v>
      </x:c>
      <x:c r="C187" s="14" t="str">
        <x:v>Sunday</x:v>
      </x:c>
      <x:c r="D187" s="14" t="n">
        <x:v>27</x:v>
      </x:c>
      <x:c r="E187" s="14" t="str">
        <x:v>July</x:v>
      </x:c>
      <x:c r="F187" s="14" t="n">
        <x:v>7</x:v>
      </x:c>
      <x:c r="G187" s="14" t="str">
        <x:v>Q3</x:v>
      </x:c>
      <x:c r="H187" s="14" t="n">
        <x:v>2026</x:v>
      </x:c>
      <x:c r="I187" s="14" t="n">
        <x:v>0</x:v>
      </x:c>
    </x:row>
    <x:row r="188">
      <x:c r="A188" s="14" t="n">
        <x:v>20260706</x:v>
      </x:c>
      <x:c r="B188" s="20" t="str">
        <x:v>2026-07-06</x:v>
      </x:c>
      <x:c r="C188" s="14" t="str">
        <x:v>Monday</x:v>
      </x:c>
      <x:c r="D188" s="14" t="n">
        <x:v>28</x:v>
      </x:c>
      <x:c r="E188" s="14" t="str">
        <x:v>July</x:v>
      </x:c>
      <x:c r="F188" s="14" t="n">
        <x:v>7</x:v>
      </x:c>
      <x:c r="G188" s="14" t="str">
        <x:v>Q3</x:v>
      </x:c>
      <x:c r="H188" s="14" t="n">
        <x:v>2026</x:v>
      </x:c>
      <x:c r="I188" s="14" t="n">
        <x:v>1</x:v>
      </x:c>
    </x:row>
    <x:row r="189">
      <x:c r="A189" s="14" t="n">
        <x:v>20260707</x:v>
      </x:c>
      <x:c r="B189" s="20" t="str">
        <x:v>2026-07-07</x:v>
      </x:c>
      <x:c r="C189" s="14" t="str">
        <x:v>Tuesday</x:v>
      </x:c>
      <x:c r="D189" s="14" t="n">
        <x:v>28</x:v>
      </x:c>
      <x:c r="E189" s="14" t="str">
        <x:v>July</x:v>
      </x:c>
      <x:c r="F189" s="14" t="n">
        <x:v>7</x:v>
      </x:c>
      <x:c r="G189" s="14" t="str">
        <x:v>Q3</x:v>
      </x:c>
      <x:c r="H189" s="14" t="n">
        <x:v>2026</x:v>
      </x:c>
      <x:c r="I189" s="14" t="n">
        <x:v>1</x:v>
      </x:c>
    </x:row>
    <x:row r="190">
      <x:c r="A190" s="14" t="n">
        <x:v>20260708</x:v>
      </x:c>
      <x:c r="B190" s="20" t="str">
        <x:v>2026-07-08</x:v>
      </x:c>
      <x:c r="C190" s="14" t="str">
        <x:v>Wednesday</x:v>
      </x:c>
      <x:c r="D190" s="14" t="n">
        <x:v>28</x:v>
      </x:c>
      <x:c r="E190" s="14" t="str">
        <x:v>July</x:v>
      </x:c>
      <x:c r="F190" s="14" t="n">
        <x:v>7</x:v>
      </x:c>
      <x:c r="G190" s="14" t="str">
        <x:v>Q3</x:v>
      </x:c>
      <x:c r="H190" s="14" t="n">
        <x:v>2026</x:v>
      </x:c>
      <x:c r="I190" s="14" t="n">
        <x:v>1</x:v>
      </x:c>
    </x:row>
    <x:row r="191">
      <x:c r="A191" s="14" t="n">
        <x:v>20260709</x:v>
      </x:c>
      <x:c r="B191" s="20" t="str">
        <x:v>2026-07-09</x:v>
      </x:c>
      <x:c r="C191" s="14" t="str">
        <x:v>Thursday</x:v>
      </x:c>
      <x:c r="D191" s="14" t="n">
        <x:v>28</x:v>
      </x:c>
      <x:c r="E191" s="14" t="str">
        <x:v>July</x:v>
      </x:c>
      <x:c r="F191" s="14" t="n">
        <x:v>7</x:v>
      </x:c>
      <x:c r="G191" s="14" t="str">
        <x:v>Q3</x:v>
      </x:c>
      <x:c r="H191" s="14" t="n">
        <x:v>2026</x:v>
      </x:c>
      <x:c r="I191" s="14" t="n">
        <x:v>1</x:v>
      </x:c>
    </x:row>
    <x:row r="192">
      <x:c r="A192" s="14" t="n">
        <x:v>20260710</x:v>
      </x:c>
      <x:c r="B192" s="20" t="str">
        <x:v>2026-07-10</x:v>
      </x:c>
      <x:c r="C192" s="14" t="str">
        <x:v>Friday</x:v>
      </x:c>
      <x:c r="D192" s="14" t="n">
        <x:v>28</x:v>
      </x:c>
      <x:c r="E192" s="14" t="str">
        <x:v>July</x:v>
      </x:c>
      <x:c r="F192" s="14" t="n">
        <x:v>7</x:v>
      </x:c>
      <x:c r="G192" s="14" t="str">
        <x:v>Q3</x:v>
      </x:c>
      <x:c r="H192" s="14" t="n">
        <x:v>2026</x:v>
      </x:c>
      <x:c r="I192" s="14" t="n">
        <x:v>1</x:v>
      </x:c>
    </x:row>
    <x:row r="193">
      <x:c r="A193" s="14" t="n">
        <x:v>20260711</x:v>
      </x:c>
      <x:c r="B193" s="20" t="str">
        <x:v>2026-07-11</x:v>
      </x:c>
      <x:c r="C193" s="14" t="str">
        <x:v>Saturday</x:v>
      </x:c>
      <x:c r="D193" s="14" t="n">
        <x:v>28</x:v>
      </x:c>
      <x:c r="E193" s="14" t="str">
        <x:v>July</x:v>
      </x:c>
      <x:c r="F193" s="14" t="n">
        <x:v>7</x:v>
      </x:c>
      <x:c r="G193" s="14" t="str">
        <x:v>Q3</x:v>
      </x:c>
      <x:c r="H193" s="14" t="n">
        <x:v>2026</x:v>
      </x:c>
      <x:c r="I193" s="14" t="n">
        <x:v>0</x:v>
      </x:c>
    </x:row>
    <x:row r="194">
      <x:c r="A194" s="14" t="n">
        <x:v>20260712</x:v>
      </x:c>
      <x:c r="B194" s="20" t="str">
        <x:v>2026-07-12</x:v>
      </x:c>
      <x:c r="C194" s="14" t="str">
        <x:v>Sunday</x:v>
      </x:c>
      <x:c r="D194" s="14" t="n">
        <x:v>28</x:v>
      </x:c>
      <x:c r="E194" s="14" t="str">
        <x:v>July</x:v>
      </x:c>
      <x:c r="F194" s="14" t="n">
        <x:v>7</x:v>
      </x:c>
      <x:c r="G194" s="14" t="str">
        <x:v>Q3</x:v>
      </x:c>
      <x:c r="H194" s="14" t="n">
        <x:v>2026</x:v>
      </x:c>
      <x:c r="I194" s="14" t="n">
        <x:v>0</x:v>
      </x:c>
    </x:row>
    <x:row r="195">
      <x:c r="A195" s="14" t="n">
        <x:v>20260713</x:v>
      </x:c>
      <x:c r="B195" s="20" t="str">
        <x:v>2026-07-13</x:v>
      </x:c>
      <x:c r="C195" s="14" t="str">
        <x:v>Monday</x:v>
      </x:c>
      <x:c r="D195" s="14" t="n">
        <x:v>29</x:v>
      </x:c>
      <x:c r="E195" s="14" t="str">
        <x:v>July</x:v>
      </x:c>
      <x:c r="F195" s="14" t="n">
        <x:v>7</x:v>
      </x:c>
      <x:c r="G195" s="14" t="str">
        <x:v>Q3</x:v>
      </x:c>
      <x:c r="H195" s="14" t="n">
        <x:v>2026</x:v>
      </x:c>
      <x:c r="I195" s="14" t="n">
        <x:v>1</x:v>
      </x:c>
    </x:row>
    <x:row r="196">
      <x:c r="A196" s="14" t="n">
        <x:v>20260714</x:v>
      </x:c>
      <x:c r="B196" s="20" t="str">
        <x:v>2026-07-14</x:v>
      </x:c>
      <x:c r="C196" s="14" t="str">
        <x:v>Tuesday</x:v>
      </x:c>
      <x:c r="D196" s="14" t="n">
        <x:v>29</x:v>
      </x:c>
      <x:c r="E196" s="14" t="str">
        <x:v>July</x:v>
      </x:c>
      <x:c r="F196" s="14" t="n">
        <x:v>7</x:v>
      </x:c>
      <x:c r="G196" s="14" t="str">
        <x:v>Q3</x:v>
      </x:c>
      <x:c r="H196" s="14" t="n">
        <x:v>2026</x:v>
      </x:c>
      <x:c r="I196" s="14" t="n">
        <x:v>1</x:v>
      </x:c>
    </x:row>
    <x:row r="197">
      <x:c r="A197" s="14" t="n">
        <x:v>20260715</x:v>
      </x:c>
      <x:c r="B197" s="20" t="str">
        <x:v>2026-07-15</x:v>
      </x:c>
      <x:c r="C197" s="14" t="str">
        <x:v>Wednesday</x:v>
      </x:c>
      <x:c r="D197" s="14" t="n">
        <x:v>29</x:v>
      </x:c>
      <x:c r="E197" s="14" t="str">
        <x:v>July</x:v>
      </x:c>
      <x:c r="F197" s="14" t="n">
        <x:v>7</x:v>
      </x:c>
      <x:c r="G197" s="14" t="str">
        <x:v>Q3</x:v>
      </x:c>
      <x:c r="H197" s="14" t="n">
        <x:v>2026</x:v>
      </x:c>
      <x:c r="I197" s="14" t="n">
        <x:v>1</x:v>
      </x:c>
    </x:row>
    <x:row r="198">
      <x:c r="A198" s="14" t="n">
        <x:v>20260716</x:v>
      </x:c>
      <x:c r="B198" s="20" t="str">
        <x:v>2026-07-16</x:v>
      </x:c>
      <x:c r="C198" s="14" t="str">
        <x:v>Thursday</x:v>
      </x:c>
      <x:c r="D198" s="14" t="n">
        <x:v>29</x:v>
      </x:c>
      <x:c r="E198" s="14" t="str">
        <x:v>July</x:v>
      </x:c>
      <x:c r="F198" s="14" t="n">
        <x:v>7</x:v>
      </x:c>
      <x:c r="G198" s="14" t="str">
        <x:v>Q3</x:v>
      </x:c>
      <x:c r="H198" s="14" t="n">
        <x:v>2026</x:v>
      </x:c>
      <x:c r="I198" s="14" t="n">
        <x:v>1</x:v>
      </x:c>
    </x:row>
    <x:row r="199">
      <x:c r="A199" s="14" t="n">
        <x:v>20260717</x:v>
      </x:c>
      <x:c r="B199" s="20" t="str">
        <x:v>2026-07-17</x:v>
      </x:c>
      <x:c r="C199" s="14" t="str">
        <x:v>Friday</x:v>
      </x:c>
      <x:c r="D199" s="14" t="n">
        <x:v>29</x:v>
      </x:c>
      <x:c r="E199" s="14" t="str">
        <x:v>July</x:v>
      </x:c>
      <x:c r="F199" s="14" t="n">
        <x:v>7</x:v>
      </x:c>
      <x:c r="G199" s="14" t="str">
        <x:v>Q3</x:v>
      </x:c>
      <x:c r="H199" s="14" t="n">
        <x:v>2026</x:v>
      </x:c>
      <x:c r="I199" s="14" t="n">
        <x:v>1</x:v>
      </x:c>
    </x:row>
    <x:row r="200">
      <x:c r="A200" s="14" t="n">
        <x:v>20260718</x:v>
      </x:c>
      <x:c r="B200" s="20" t="str">
        <x:v>2026-07-18</x:v>
      </x:c>
      <x:c r="C200" s="14" t="str">
        <x:v>Saturday</x:v>
      </x:c>
      <x:c r="D200" s="14" t="n">
        <x:v>29</x:v>
      </x:c>
      <x:c r="E200" s="14" t="str">
        <x:v>July</x:v>
      </x:c>
      <x:c r="F200" s="14" t="n">
        <x:v>7</x:v>
      </x:c>
      <x:c r="G200" s="14" t="str">
        <x:v>Q3</x:v>
      </x:c>
      <x:c r="H200" s="14" t="n">
        <x:v>2026</x:v>
      </x:c>
      <x:c r="I200" s="14" t="n">
        <x:v>0</x:v>
      </x:c>
    </x:row>
    <x:row r="201">
      <x:c r="A201" s="14" t="n">
        <x:v>20260719</x:v>
      </x:c>
      <x:c r="B201" s="20" t="str">
        <x:v>2026-07-19</x:v>
      </x:c>
      <x:c r="C201" s="14" t="str">
        <x:v>Sunday</x:v>
      </x:c>
      <x:c r="D201" s="14" t="n">
        <x:v>29</x:v>
      </x:c>
      <x:c r="E201" s="14" t="str">
        <x:v>July</x:v>
      </x:c>
      <x:c r="F201" s="14" t="n">
        <x:v>7</x:v>
      </x:c>
      <x:c r="G201" s="14" t="str">
        <x:v>Q3</x:v>
      </x:c>
      <x:c r="H201" s="14" t="n">
        <x:v>2026</x:v>
      </x:c>
      <x:c r="I201" s="14" t="n">
        <x:v>0</x:v>
      </x:c>
    </x:row>
    <x:row r="202">
      <x:c r="A202" s="14" t="n">
        <x:v>20260720</x:v>
      </x:c>
      <x:c r="B202" s="20" t="str">
        <x:v>2026-07-20</x:v>
      </x:c>
      <x:c r="C202" s="14" t="str">
        <x:v>Monday</x:v>
      </x:c>
      <x:c r="D202" s="14" t="n">
        <x:v>30</x:v>
      </x:c>
      <x:c r="E202" s="14" t="str">
        <x:v>July</x:v>
      </x:c>
      <x:c r="F202" s="14" t="n">
        <x:v>7</x:v>
      </x:c>
      <x:c r="G202" s="14" t="str">
        <x:v>Q3</x:v>
      </x:c>
      <x:c r="H202" s="14" t="n">
        <x:v>2026</x:v>
      </x:c>
      <x:c r="I202" s="14" t="n">
        <x:v>1</x:v>
      </x:c>
    </x:row>
    <x:row r="203">
      <x:c r="A203" s="14" t="n">
        <x:v>20260721</x:v>
      </x:c>
      <x:c r="B203" s="20" t="str">
        <x:v>2026-07-21</x:v>
      </x:c>
      <x:c r="C203" s="14" t="str">
        <x:v>Tuesday</x:v>
      </x:c>
      <x:c r="D203" s="14" t="n">
        <x:v>30</x:v>
      </x:c>
      <x:c r="E203" s="14" t="str">
        <x:v>July</x:v>
      </x:c>
      <x:c r="F203" s="14" t="n">
        <x:v>7</x:v>
      </x:c>
      <x:c r="G203" s="14" t="str">
        <x:v>Q3</x:v>
      </x:c>
      <x:c r="H203" s="14" t="n">
        <x:v>2026</x:v>
      </x:c>
      <x:c r="I203" s="14" t="n">
        <x:v>1</x:v>
      </x:c>
    </x:row>
    <x:row r="204">
      <x:c r="A204" s="14" t="n">
        <x:v>20260722</x:v>
      </x:c>
      <x:c r="B204" s="20" t="str">
        <x:v>2026-07-22</x:v>
      </x:c>
      <x:c r="C204" s="14" t="str">
        <x:v>Wednesday</x:v>
      </x:c>
      <x:c r="D204" s="14" t="n">
        <x:v>30</x:v>
      </x:c>
      <x:c r="E204" s="14" t="str">
        <x:v>July</x:v>
      </x:c>
      <x:c r="F204" s="14" t="n">
        <x:v>7</x:v>
      </x:c>
      <x:c r="G204" s="14" t="str">
        <x:v>Q3</x:v>
      </x:c>
      <x:c r="H204" s="14" t="n">
        <x:v>2026</x:v>
      </x:c>
      <x:c r="I204" s="14" t="n">
        <x:v>1</x:v>
      </x:c>
    </x:row>
    <x:row r="205">
      <x:c r="A205" s="14" t="n">
        <x:v>20260723</x:v>
      </x:c>
      <x:c r="B205" s="20" t="str">
        <x:v>2026-07-23</x:v>
      </x:c>
      <x:c r="C205" s="14" t="str">
        <x:v>Thursday</x:v>
      </x:c>
      <x:c r="D205" s="14" t="n">
        <x:v>30</x:v>
      </x:c>
      <x:c r="E205" s="14" t="str">
        <x:v>July</x:v>
      </x:c>
      <x:c r="F205" s="14" t="n">
        <x:v>7</x:v>
      </x:c>
      <x:c r="G205" s="14" t="str">
        <x:v>Q3</x:v>
      </x:c>
      <x:c r="H205" s="14" t="n">
        <x:v>2026</x:v>
      </x:c>
      <x:c r="I205" s="14" t="n">
        <x:v>1</x:v>
      </x:c>
    </x:row>
    <x:row r="206">
      <x:c r="A206" s="14" t="n">
        <x:v>20260724</x:v>
      </x:c>
      <x:c r="B206" s="20" t="str">
        <x:v>2026-07-24</x:v>
      </x:c>
      <x:c r="C206" s="14" t="str">
        <x:v>Friday</x:v>
      </x:c>
      <x:c r="D206" s="14" t="n">
        <x:v>30</x:v>
      </x:c>
      <x:c r="E206" s="14" t="str">
        <x:v>July</x:v>
      </x:c>
      <x:c r="F206" s="14" t="n">
        <x:v>7</x:v>
      </x:c>
      <x:c r="G206" s="14" t="str">
        <x:v>Q3</x:v>
      </x:c>
      <x:c r="H206" s="14" t="n">
        <x:v>2026</x:v>
      </x:c>
      <x:c r="I206" s="14" t="n">
        <x:v>1</x:v>
      </x:c>
    </x:row>
    <x:row r="207">
      <x:c r="A207" s="14" t="n">
        <x:v>20260725</x:v>
      </x:c>
      <x:c r="B207" s="20" t="str">
        <x:v>2026-07-25</x:v>
      </x:c>
      <x:c r="C207" s="14" t="str">
        <x:v>Saturday</x:v>
      </x:c>
      <x:c r="D207" s="14" t="n">
        <x:v>30</x:v>
      </x:c>
      <x:c r="E207" s="14" t="str">
        <x:v>July</x:v>
      </x:c>
      <x:c r="F207" s="14" t="n">
        <x:v>7</x:v>
      </x:c>
      <x:c r="G207" s="14" t="str">
        <x:v>Q3</x:v>
      </x:c>
      <x:c r="H207" s="14" t="n">
        <x:v>2026</x:v>
      </x:c>
      <x:c r="I207" s="14" t="n">
        <x:v>0</x:v>
      </x:c>
    </x:row>
    <x:row r="208">
      <x:c r="A208" s="14" t="n">
        <x:v>20260726</x:v>
      </x:c>
      <x:c r="B208" s="20" t="str">
        <x:v>2026-07-26</x:v>
      </x:c>
      <x:c r="C208" s="14" t="str">
        <x:v>Sunday</x:v>
      </x:c>
      <x:c r="D208" s="14" t="n">
        <x:v>30</x:v>
      </x:c>
      <x:c r="E208" s="14" t="str">
        <x:v>July</x:v>
      </x:c>
      <x:c r="F208" s="14" t="n">
        <x:v>7</x:v>
      </x:c>
      <x:c r="G208" s="14" t="str">
        <x:v>Q3</x:v>
      </x:c>
      <x:c r="H208" s="14" t="n">
        <x:v>2026</x:v>
      </x:c>
      <x:c r="I208" s="14" t="n">
        <x:v>0</x:v>
      </x:c>
    </x:row>
    <x:row r="209">
      <x:c r="A209" s="14" t="n">
        <x:v>20260727</x:v>
      </x:c>
      <x:c r="B209" s="20" t="str">
        <x:v>2026-07-27</x:v>
      </x:c>
      <x:c r="C209" s="14" t="str">
        <x:v>Monday</x:v>
      </x:c>
      <x:c r="D209" s="14" t="n">
        <x:v>31</x:v>
      </x:c>
      <x:c r="E209" s="14" t="str">
        <x:v>July</x:v>
      </x:c>
      <x:c r="F209" s="14" t="n">
        <x:v>7</x:v>
      </x:c>
      <x:c r="G209" s="14" t="str">
        <x:v>Q3</x:v>
      </x:c>
      <x:c r="H209" s="14" t="n">
        <x:v>2026</x:v>
      </x:c>
      <x:c r="I209" s="14" t="n">
        <x:v>1</x:v>
      </x:c>
    </x:row>
    <x:row r="210">
      <x:c r="A210" s="14" t="n">
        <x:v>20260728</x:v>
      </x:c>
      <x:c r="B210" s="20" t="str">
        <x:v>2026-07-28</x:v>
      </x:c>
      <x:c r="C210" s="14" t="str">
        <x:v>Tuesday</x:v>
      </x:c>
      <x:c r="D210" s="14" t="n">
        <x:v>31</x:v>
      </x:c>
      <x:c r="E210" s="14" t="str">
        <x:v>July</x:v>
      </x:c>
      <x:c r="F210" s="14" t="n">
        <x:v>7</x:v>
      </x:c>
      <x:c r="G210" s="14" t="str">
        <x:v>Q3</x:v>
      </x:c>
      <x:c r="H210" s="14" t="n">
        <x:v>2026</x:v>
      </x:c>
      <x:c r="I210" s="14" t="n">
        <x:v>1</x:v>
      </x:c>
    </x:row>
    <x:row r="211">
      <x:c r="A211" s="14" t="n">
        <x:v>20260729</x:v>
      </x:c>
      <x:c r="B211" s="20" t="str">
        <x:v>2026-07-29</x:v>
      </x:c>
      <x:c r="C211" s="14" t="str">
        <x:v>Wednesday</x:v>
      </x:c>
      <x:c r="D211" s="14" t="n">
        <x:v>31</x:v>
      </x:c>
      <x:c r="E211" s="14" t="str">
        <x:v>July</x:v>
      </x:c>
      <x:c r="F211" s="14" t="n">
        <x:v>7</x:v>
      </x:c>
      <x:c r="G211" s="14" t="str">
        <x:v>Q3</x:v>
      </x:c>
      <x:c r="H211" s="14" t="n">
        <x:v>2026</x:v>
      </x:c>
      <x:c r="I211" s="14" t="n">
        <x:v>1</x:v>
      </x:c>
    </x:row>
    <x:row r="212">
      <x:c r="A212" s="14" t="n">
        <x:v>20260730</x:v>
      </x:c>
      <x:c r="B212" s="20" t="str">
        <x:v>2026-07-30</x:v>
      </x:c>
      <x:c r="C212" s="14" t="str">
        <x:v>Thursday</x:v>
      </x:c>
      <x:c r="D212" s="14" t="n">
        <x:v>31</x:v>
      </x:c>
      <x:c r="E212" s="14" t="str">
        <x:v>July</x:v>
      </x:c>
      <x:c r="F212" s="14" t="n">
        <x:v>7</x:v>
      </x:c>
      <x:c r="G212" s="14" t="str">
        <x:v>Q3</x:v>
      </x:c>
      <x:c r="H212" s="14" t="n">
        <x:v>2026</x:v>
      </x:c>
      <x:c r="I212" s="14" t="n">
        <x:v>1</x:v>
      </x:c>
    </x:row>
    <x:row r="213">
      <x:c r="A213" s="14" t="n">
        <x:v>20260731</x:v>
      </x:c>
      <x:c r="B213" s="20" t="str">
        <x:v>2026-07-31</x:v>
      </x:c>
      <x:c r="C213" s="14" t="str">
        <x:v>Friday</x:v>
      </x:c>
      <x:c r="D213" s="14" t="n">
        <x:v>31</x:v>
      </x:c>
      <x:c r="E213" s="14" t="str">
        <x:v>July</x:v>
      </x:c>
      <x:c r="F213" s="14" t="n">
        <x:v>7</x:v>
      </x:c>
      <x:c r="G213" s="14" t="str">
        <x:v>Q3</x:v>
      </x:c>
      <x:c r="H213" s="14" t="n">
        <x:v>2026</x:v>
      </x:c>
      <x:c r="I213" s="14" t="n">
        <x:v>1</x:v>
      </x:c>
    </x:row>
    <x:row r="214">
      <x:c r="A214" s="14" t="n">
        <x:v>20260801</x:v>
      </x:c>
      <x:c r="B214" s="20" t="str">
        <x:v>2026-08-01</x:v>
      </x:c>
      <x:c r="C214" s="14" t="str">
        <x:v>Saturday</x:v>
      </x:c>
      <x:c r="D214" s="14" t="n">
        <x:v>31</x:v>
      </x:c>
      <x:c r="E214" s="14" t="str">
        <x:v>August</x:v>
      </x:c>
      <x:c r="F214" s="14" t="n">
        <x:v>8</x:v>
      </x:c>
      <x:c r="G214" s="14" t="str">
        <x:v>Q3</x:v>
      </x:c>
      <x:c r="H214" s="14" t="n">
        <x:v>2026</x:v>
      </x:c>
      <x:c r="I214" s="14" t="n">
        <x:v>0</x:v>
      </x:c>
    </x:row>
    <x:row r="215">
      <x:c r="A215" s="14" t="n">
        <x:v>20260802</x:v>
      </x:c>
      <x:c r="B215" s="20" t="str">
        <x:v>2026-08-02</x:v>
      </x:c>
      <x:c r="C215" s="14" t="str">
        <x:v>Sunday</x:v>
      </x:c>
      <x:c r="D215" s="14" t="n">
        <x:v>31</x:v>
      </x:c>
      <x:c r="E215" s="14" t="str">
        <x:v>August</x:v>
      </x:c>
      <x:c r="F215" s="14" t="n">
        <x:v>8</x:v>
      </x:c>
      <x:c r="G215" s="14" t="str">
        <x:v>Q3</x:v>
      </x:c>
      <x:c r="H215" s="14" t="n">
        <x:v>2026</x:v>
      </x:c>
      <x:c r="I215" s="14" t="n">
        <x:v>0</x:v>
      </x:c>
    </x:row>
    <x:row r="216">
      <x:c r="A216" s="14" t="n">
        <x:v>20260803</x:v>
      </x:c>
      <x:c r="B216" s="20" t="str">
        <x:v>2026-08-03</x:v>
      </x:c>
      <x:c r="C216" s="14" t="str">
        <x:v>Monday</x:v>
      </x:c>
      <x:c r="D216" s="14" t="n">
        <x:v>32</x:v>
      </x:c>
      <x:c r="E216" s="14" t="str">
        <x:v>August</x:v>
      </x:c>
      <x:c r="F216" s="14" t="n">
        <x:v>8</x:v>
      </x:c>
      <x:c r="G216" s="14" t="str">
        <x:v>Q3</x:v>
      </x:c>
      <x:c r="H216" s="14" t="n">
        <x:v>2026</x:v>
      </x:c>
      <x:c r="I216" s="14" t="n">
        <x:v>1</x:v>
      </x:c>
    </x:row>
    <x:row r="217">
      <x:c r="A217" s="14" t="n">
        <x:v>20260804</x:v>
      </x:c>
      <x:c r="B217" s="20" t="str">
        <x:v>2026-08-04</x:v>
      </x:c>
      <x:c r="C217" s="14" t="str">
        <x:v>Tuesday</x:v>
      </x:c>
      <x:c r="D217" s="14" t="n">
        <x:v>32</x:v>
      </x:c>
      <x:c r="E217" s="14" t="str">
        <x:v>August</x:v>
      </x:c>
      <x:c r="F217" s="14" t="n">
        <x:v>8</x:v>
      </x:c>
      <x:c r="G217" s="14" t="str">
        <x:v>Q3</x:v>
      </x:c>
      <x:c r="H217" s="14" t="n">
        <x:v>2026</x:v>
      </x:c>
      <x:c r="I217" s="14" t="n">
        <x:v>1</x:v>
      </x:c>
    </x:row>
    <x:row r="218">
      <x:c r="A218" s="14" t="n">
        <x:v>20260805</x:v>
      </x:c>
      <x:c r="B218" s="20" t="str">
        <x:v>2026-08-05</x:v>
      </x:c>
      <x:c r="C218" s="14" t="str">
        <x:v>Wednesday</x:v>
      </x:c>
      <x:c r="D218" s="14" t="n">
        <x:v>32</x:v>
      </x:c>
      <x:c r="E218" s="14" t="str">
        <x:v>August</x:v>
      </x:c>
      <x:c r="F218" s="14" t="n">
        <x:v>8</x:v>
      </x:c>
      <x:c r="G218" s="14" t="str">
        <x:v>Q3</x:v>
      </x:c>
      <x:c r="H218" s="14" t="n">
        <x:v>2026</x:v>
      </x:c>
      <x:c r="I218" s="14" t="n">
        <x:v>1</x:v>
      </x:c>
    </x:row>
    <x:row r="219">
      <x:c r="A219" s="14" t="n">
        <x:v>20260806</x:v>
      </x:c>
      <x:c r="B219" s="20" t="str">
        <x:v>2026-08-06</x:v>
      </x:c>
      <x:c r="C219" s="14" t="str">
        <x:v>Thursday</x:v>
      </x:c>
      <x:c r="D219" s="14" t="n">
        <x:v>32</x:v>
      </x:c>
      <x:c r="E219" s="14" t="str">
        <x:v>August</x:v>
      </x:c>
      <x:c r="F219" s="14" t="n">
        <x:v>8</x:v>
      </x:c>
      <x:c r="G219" s="14" t="str">
        <x:v>Q3</x:v>
      </x:c>
      <x:c r="H219" s="14" t="n">
        <x:v>2026</x:v>
      </x:c>
      <x:c r="I219" s="14" t="n">
        <x:v>1</x:v>
      </x:c>
    </x:row>
    <x:row r="220">
      <x:c r="A220" s="14" t="n">
        <x:v>20260807</x:v>
      </x:c>
      <x:c r="B220" s="20" t="str">
        <x:v>2026-08-07</x:v>
      </x:c>
      <x:c r="C220" s="14" t="str">
        <x:v>Friday</x:v>
      </x:c>
      <x:c r="D220" s="14" t="n">
        <x:v>32</x:v>
      </x:c>
      <x:c r="E220" s="14" t="str">
        <x:v>August</x:v>
      </x:c>
      <x:c r="F220" s="14" t="n">
        <x:v>8</x:v>
      </x:c>
      <x:c r="G220" s="14" t="str">
        <x:v>Q3</x:v>
      </x:c>
      <x:c r="H220" s="14" t="n">
        <x:v>2026</x:v>
      </x:c>
      <x:c r="I220" s="14" t="n">
        <x:v>1</x:v>
      </x:c>
    </x:row>
    <x:row r="221">
      <x:c r="A221" s="14" t="n">
        <x:v>20260808</x:v>
      </x:c>
      <x:c r="B221" s="20" t="str">
        <x:v>2026-08-08</x:v>
      </x:c>
      <x:c r="C221" s="14" t="str">
        <x:v>Saturday</x:v>
      </x:c>
      <x:c r="D221" s="14" t="n">
        <x:v>32</x:v>
      </x:c>
      <x:c r="E221" s="14" t="str">
        <x:v>August</x:v>
      </x:c>
      <x:c r="F221" s="14" t="n">
        <x:v>8</x:v>
      </x:c>
      <x:c r="G221" s="14" t="str">
        <x:v>Q3</x:v>
      </x:c>
      <x:c r="H221" s="14" t="n">
        <x:v>2026</x:v>
      </x:c>
      <x:c r="I221" s="14" t="n">
        <x:v>0</x:v>
      </x:c>
    </x:row>
    <x:row r="222">
      <x:c r="A222" s="14" t="n">
        <x:v>20260809</x:v>
      </x:c>
      <x:c r="B222" s="20" t="str">
        <x:v>2026-08-09</x:v>
      </x:c>
      <x:c r="C222" s="14" t="str">
        <x:v>Sunday</x:v>
      </x:c>
      <x:c r="D222" s="14" t="n">
        <x:v>32</x:v>
      </x:c>
      <x:c r="E222" s="14" t="str">
        <x:v>August</x:v>
      </x:c>
      <x:c r="F222" s="14" t="n">
        <x:v>8</x:v>
      </x:c>
      <x:c r="G222" s="14" t="str">
        <x:v>Q3</x:v>
      </x:c>
      <x:c r="H222" s="14" t="n">
        <x:v>2026</x:v>
      </x:c>
      <x:c r="I222" s="14" t="n">
        <x:v>0</x:v>
      </x:c>
    </x:row>
    <x:row r="223">
      <x:c r="A223" s="14" t="n">
        <x:v>20260810</x:v>
      </x:c>
      <x:c r="B223" s="20" t="str">
        <x:v>2026-08-10</x:v>
      </x:c>
      <x:c r="C223" s="14" t="str">
        <x:v>Monday</x:v>
      </x:c>
      <x:c r="D223" s="14" t="n">
        <x:v>33</x:v>
      </x:c>
      <x:c r="E223" s="14" t="str">
        <x:v>August</x:v>
      </x:c>
      <x:c r="F223" s="14" t="n">
        <x:v>8</x:v>
      </x:c>
      <x:c r="G223" s="14" t="str">
        <x:v>Q3</x:v>
      </x:c>
      <x:c r="H223" s="14" t="n">
        <x:v>2026</x:v>
      </x:c>
      <x:c r="I223" s="14" t="n">
        <x:v>1</x:v>
      </x:c>
    </x:row>
    <x:row r="224">
      <x:c r="A224" s="14" t="n">
        <x:v>20260811</x:v>
      </x:c>
      <x:c r="B224" s="20" t="str">
        <x:v>2026-08-11</x:v>
      </x:c>
      <x:c r="C224" s="14" t="str">
        <x:v>Tuesday</x:v>
      </x:c>
      <x:c r="D224" s="14" t="n">
        <x:v>33</x:v>
      </x:c>
      <x:c r="E224" s="14" t="str">
        <x:v>August</x:v>
      </x:c>
      <x:c r="F224" s="14" t="n">
        <x:v>8</x:v>
      </x:c>
      <x:c r="G224" s="14" t="str">
        <x:v>Q3</x:v>
      </x:c>
      <x:c r="H224" s="14" t="n">
        <x:v>2026</x:v>
      </x:c>
      <x:c r="I224" s="14" t="n">
        <x:v>1</x:v>
      </x:c>
    </x:row>
    <x:row r="225">
      <x:c r="A225" s="14" t="n">
        <x:v>20260812</x:v>
      </x:c>
      <x:c r="B225" s="20" t="str">
        <x:v>2026-08-12</x:v>
      </x:c>
      <x:c r="C225" s="14" t="str">
        <x:v>Wednesday</x:v>
      </x:c>
      <x:c r="D225" s="14" t="n">
        <x:v>33</x:v>
      </x:c>
      <x:c r="E225" s="14" t="str">
        <x:v>August</x:v>
      </x:c>
      <x:c r="F225" s="14" t="n">
        <x:v>8</x:v>
      </x:c>
      <x:c r="G225" s="14" t="str">
        <x:v>Q3</x:v>
      </x:c>
      <x:c r="H225" s="14" t="n">
        <x:v>2026</x:v>
      </x:c>
      <x:c r="I225" s="14" t="n">
        <x:v>1</x:v>
      </x:c>
    </x:row>
    <x:row r="226">
      <x:c r="A226" s="14" t="n">
        <x:v>20260813</x:v>
      </x:c>
      <x:c r="B226" s="20" t="str">
        <x:v>2026-08-13</x:v>
      </x:c>
      <x:c r="C226" s="14" t="str">
        <x:v>Thursday</x:v>
      </x:c>
      <x:c r="D226" s="14" t="n">
        <x:v>33</x:v>
      </x:c>
      <x:c r="E226" s="14" t="str">
        <x:v>August</x:v>
      </x:c>
      <x:c r="F226" s="14" t="n">
        <x:v>8</x:v>
      </x:c>
      <x:c r="G226" s="14" t="str">
        <x:v>Q3</x:v>
      </x:c>
      <x:c r="H226" s="14" t="n">
        <x:v>2026</x:v>
      </x:c>
      <x:c r="I226" s="14" t="n">
        <x:v>1</x:v>
      </x:c>
    </x:row>
    <x:row r="227">
      <x:c r="A227" s="14" t="n">
        <x:v>20260814</x:v>
      </x:c>
      <x:c r="B227" s="20" t="str">
        <x:v>2026-08-14</x:v>
      </x:c>
      <x:c r="C227" s="14" t="str">
        <x:v>Friday</x:v>
      </x:c>
      <x:c r="D227" s="14" t="n">
        <x:v>33</x:v>
      </x:c>
      <x:c r="E227" s="14" t="str">
        <x:v>August</x:v>
      </x:c>
      <x:c r="F227" s="14" t="n">
        <x:v>8</x:v>
      </x:c>
      <x:c r="G227" s="14" t="str">
        <x:v>Q3</x:v>
      </x:c>
      <x:c r="H227" s="14" t="n">
        <x:v>2026</x:v>
      </x:c>
      <x:c r="I227" s="14" t="n">
        <x:v>1</x:v>
      </x:c>
    </x:row>
    <x:row r="228">
      <x:c r="A228" s="14" t="n">
        <x:v>20260815</x:v>
      </x:c>
      <x:c r="B228" s="20" t="str">
        <x:v>2026-08-15</x:v>
      </x:c>
      <x:c r="C228" s="14" t="str">
        <x:v>Saturday</x:v>
      </x:c>
      <x:c r="D228" s="14" t="n">
        <x:v>33</x:v>
      </x:c>
      <x:c r="E228" s="14" t="str">
        <x:v>August</x:v>
      </x:c>
      <x:c r="F228" s="14" t="n">
        <x:v>8</x:v>
      </x:c>
      <x:c r="G228" s="14" t="str">
        <x:v>Q3</x:v>
      </x:c>
      <x:c r="H228" s="14" t="n">
        <x:v>2026</x:v>
      </x:c>
      <x:c r="I228" s="14" t="n">
        <x:v>0</x:v>
      </x:c>
    </x:row>
    <x:row r="229">
      <x:c r="A229" s="14" t="n">
        <x:v>20260816</x:v>
      </x:c>
      <x:c r="B229" s="20" t="str">
        <x:v>2026-08-16</x:v>
      </x:c>
      <x:c r="C229" s="14" t="str">
        <x:v>Sunday</x:v>
      </x:c>
      <x:c r="D229" s="14" t="n">
        <x:v>33</x:v>
      </x:c>
      <x:c r="E229" s="14" t="str">
        <x:v>August</x:v>
      </x:c>
      <x:c r="F229" s="14" t="n">
        <x:v>8</x:v>
      </x:c>
      <x:c r="G229" s="14" t="str">
        <x:v>Q3</x:v>
      </x:c>
      <x:c r="H229" s="14" t="n">
        <x:v>2026</x:v>
      </x:c>
      <x:c r="I229" s="14" t="n">
        <x:v>0</x:v>
      </x:c>
    </x:row>
    <x:row r="230">
      <x:c r="A230" s="14" t="n">
        <x:v>20260817</x:v>
      </x:c>
      <x:c r="B230" s="20" t="str">
        <x:v>2026-08-17</x:v>
      </x:c>
      <x:c r="C230" s="14" t="str">
        <x:v>Monday</x:v>
      </x:c>
      <x:c r="D230" s="14" t="n">
        <x:v>34</x:v>
      </x:c>
      <x:c r="E230" s="14" t="str">
        <x:v>August</x:v>
      </x:c>
      <x:c r="F230" s="14" t="n">
        <x:v>8</x:v>
      </x:c>
      <x:c r="G230" s="14" t="str">
        <x:v>Q3</x:v>
      </x:c>
      <x:c r="H230" s="14" t="n">
        <x:v>2026</x:v>
      </x:c>
      <x:c r="I230" s="14" t="n">
        <x:v>1</x:v>
      </x:c>
    </x:row>
    <x:row r="231">
      <x:c r="A231" s="14" t="n">
        <x:v>20260818</x:v>
      </x:c>
      <x:c r="B231" s="20" t="str">
        <x:v>2026-08-18</x:v>
      </x:c>
      <x:c r="C231" s="14" t="str">
        <x:v>Tuesday</x:v>
      </x:c>
      <x:c r="D231" s="14" t="n">
        <x:v>34</x:v>
      </x:c>
      <x:c r="E231" s="14" t="str">
        <x:v>August</x:v>
      </x:c>
      <x:c r="F231" s="14" t="n">
        <x:v>8</x:v>
      </x:c>
      <x:c r="G231" s="14" t="str">
        <x:v>Q3</x:v>
      </x:c>
      <x:c r="H231" s="14" t="n">
        <x:v>2026</x:v>
      </x:c>
      <x:c r="I231" s="14" t="n">
        <x:v>1</x:v>
      </x:c>
    </x:row>
    <x:row r="232">
      <x:c r="A232" s="14" t="n">
        <x:v>20260819</x:v>
      </x:c>
      <x:c r="B232" s="20" t="str">
        <x:v>2026-08-19</x:v>
      </x:c>
      <x:c r="C232" s="14" t="str">
        <x:v>Wednesday</x:v>
      </x:c>
      <x:c r="D232" s="14" t="n">
        <x:v>34</x:v>
      </x:c>
      <x:c r="E232" s="14" t="str">
        <x:v>August</x:v>
      </x:c>
      <x:c r="F232" s="14" t="n">
        <x:v>8</x:v>
      </x:c>
      <x:c r="G232" s="14" t="str">
        <x:v>Q3</x:v>
      </x:c>
      <x:c r="H232" s="14" t="n">
        <x:v>2026</x:v>
      </x:c>
      <x:c r="I232" s="14" t="n">
        <x:v>1</x:v>
      </x:c>
    </x:row>
    <x:row r="233">
      <x:c r="A233" s="14" t="n">
        <x:v>20260820</x:v>
      </x:c>
      <x:c r="B233" s="20" t="str">
        <x:v>2026-08-20</x:v>
      </x:c>
      <x:c r="C233" s="14" t="str">
        <x:v>Thursday</x:v>
      </x:c>
      <x:c r="D233" s="14" t="n">
        <x:v>34</x:v>
      </x:c>
      <x:c r="E233" s="14" t="str">
        <x:v>August</x:v>
      </x:c>
      <x:c r="F233" s="14" t="n">
        <x:v>8</x:v>
      </x:c>
      <x:c r="G233" s="14" t="str">
        <x:v>Q3</x:v>
      </x:c>
      <x:c r="H233" s="14" t="n">
        <x:v>2026</x:v>
      </x:c>
      <x:c r="I233" s="14" t="n">
        <x:v>1</x:v>
      </x:c>
    </x:row>
    <x:row r="234">
      <x:c r="A234" s="14" t="n">
        <x:v>20260821</x:v>
      </x:c>
      <x:c r="B234" s="20" t="str">
        <x:v>2026-08-21</x:v>
      </x:c>
      <x:c r="C234" s="14" t="str">
        <x:v>Friday</x:v>
      </x:c>
      <x:c r="D234" s="14" t="n">
        <x:v>34</x:v>
      </x:c>
      <x:c r="E234" s="14" t="str">
        <x:v>August</x:v>
      </x:c>
      <x:c r="F234" s="14" t="n">
        <x:v>8</x:v>
      </x:c>
      <x:c r="G234" s="14" t="str">
        <x:v>Q3</x:v>
      </x:c>
      <x:c r="H234" s="14" t="n">
        <x:v>2026</x:v>
      </x:c>
      <x:c r="I234" s="14" t="n">
        <x:v>1</x:v>
      </x:c>
    </x:row>
    <x:row r="235">
      <x:c r="A235" s="14" t="n">
        <x:v>20260822</x:v>
      </x:c>
      <x:c r="B235" s="20" t="str">
        <x:v>2026-08-22</x:v>
      </x:c>
      <x:c r="C235" s="14" t="str">
        <x:v>Saturday</x:v>
      </x:c>
      <x:c r="D235" s="14" t="n">
        <x:v>34</x:v>
      </x:c>
      <x:c r="E235" s="14" t="str">
        <x:v>August</x:v>
      </x:c>
      <x:c r="F235" s="14" t="n">
        <x:v>8</x:v>
      </x:c>
      <x:c r="G235" s="14" t="str">
        <x:v>Q3</x:v>
      </x:c>
      <x:c r="H235" s="14" t="n">
        <x:v>2026</x:v>
      </x:c>
      <x:c r="I235" s="14" t="n">
        <x:v>0</x:v>
      </x:c>
    </x:row>
    <x:row r="236">
      <x:c r="A236" s="14" t="n">
        <x:v>20260823</x:v>
      </x:c>
      <x:c r="B236" s="20" t="str">
        <x:v>2026-08-23</x:v>
      </x:c>
      <x:c r="C236" s="14" t="str">
        <x:v>Sunday</x:v>
      </x:c>
      <x:c r="D236" s="14" t="n">
        <x:v>34</x:v>
      </x:c>
      <x:c r="E236" s="14" t="str">
        <x:v>August</x:v>
      </x:c>
      <x:c r="F236" s="14" t="n">
        <x:v>8</x:v>
      </x:c>
      <x:c r="G236" s="14" t="str">
        <x:v>Q3</x:v>
      </x:c>
      <x:c r="H236" s="14" t="n">
        <x:v>2026</x:v>
      </x:c>
      <x:c r="I236" s="14" t="n">
        <x:v>0</x:v>
      </x:c>
    </x:row>
    <x:row r="237">
      <x:c r="A237" s="14" t="n">
        <x:v>20260824</x:v>
      </x:c>
      <x:c r="B237" s="20" t="str">
        <x:v>2026-08-24</x:v>
      </x:c>
      <x:c r="C237" s="14" t="str">
        <x:v>Monday</x:v>
      </x:c>
      <x:c r="D237" s="14" t="n">
        <x:v>35</x:v>
      </x:c>
      <x:c r="E237" s="14" t="str">
        <x:v>August</x:v>
      </x:c>
      <x:c r="F237" s="14" t="n">
        <x:v>8</x:v>
      </x:c>
      <x:c r="G237" s="14" t="str">
        <x:v>Q3</x:v>
      </x:c>
      <x:c r="H237" s="14" t="n">
        <x:v>2026</x:v>
      </x:c>
      <x:c r="I237" s="14" t="n">
        <x:v>1</x:v>
      </x:c>
    </x:row>
    <x:row r="238">
      <x:c r="A238" s="14" t="n">
        <x:v>20260825</x:v>
      </x:c>
      <x:c r="B238" s="20" t="str">
        <x:v>2026-08-25</x:v>
      </x:c>
      <x:c r="C238" s="14" t="str">
        <x:v>Tuesday</x:v>
      </x:c>
      <x:c r="D238" s="14" t="n">
        <x:v>35</x:v>
      </x:c>
      <x:c r="E238" s="14" t="str">
        <x:v>August</x:v>
      </x:c>
      <x:c r="F238" s="14" t="n">
        <x:v>8</x:v>
      </x:c>
      <x:c r="G238" s="14" t="str">
        <x:v>Q3</x:v>
      </x:c>
      <x:c r="H238" s="14" t="n">
        <x:v>2026</x:v>
      </x:c>
      <x:c r="I238" s="14" t="n">
        <x:v>1</x:v>
      </x:c>
    </x:row>
    <x:row r="239">
      <x:c r="A239" s="14" t="n">
        <x:v>20260826</x:v>
      </x:c>
      <x:c r="B239" s="20" t="str">
        <x:v>2026-08-26</x:v>
      </x:c>
      <x:c r="C239" s="14" t="str">
        <x:v>Wednesday</x:v>
      </x:c>
      <x:c r="D239" s="14" t="n">
        <x:v>35</x:v>
      </x:c>
      <x:c r="E239" s="14" t="str">
        <x:v>August</x:v>
      </x:c>
      <x:c r="F239" s="14" t="n">
        <x:v>8</x:v>
      </x:c>
      <x:c r="G239" s="14" t="str">
        <x:v>Q3</x:v>
      </x:c>
      <x:c r="H239" s="14" t="n">
        <x:v>2026</x:v>
      </x:c>
      <x:c r="I239" s="14" t="n">
        <x:v>1</x:v>
      </x:c>
    </x:row>
    <x:row r="240">
      <x:c r="A240" s="14" t="n">
        <x:v>20260827</x:v>
      </x:c>
      <x:c r="B240" s="20" t="str">
        <x:v>2026-08-27</x:v>
      </x:c>
      <x:c r="C240" s="14" t="str">
        <x:v>Thursday</x:v>
      </x:c>
      <x:c r="D240" s="14" t="n">
        <x:v>35</x:v>
      </x:c>
      <x:c r="E240" s="14" t="str">
        <x:v>August</x:v>
      </x:c>
      <x:c r="F240" s="14" t="n">
        <x:v>8</x:v>
      </x:c>
      <x:c r="G240" s="14" t="str">
        <x:v>Q3</x:v>
      </x:c>
      <x:c r="H240" s="14" t="n">
        <x:v>2026</x:v>
      </x:c>
      <x:c r="I240" s="14" t="n">
        <x:v>1</x:v>
      </x:c>
    </x:row>
    <x:row r="241">
      <x:c r="A241" s="14" t="n">
        <x:v>20260828</x:v>
      </x:c>
      <x:c r="B241" s="20" t="str">
        <x:v>2026-08-28</x:v>
      </x:c>
      <x:c r="C241" s="14" t="str">
        <x:v>Friday</x:v>
      </x:c>
      <x:c r="D241" s="14" t="n">
        <x:v>35</x:v>
      </x:c>
      <x:c r="E241" s="14" t="str">
        <x:v>August</x:v>
      </x:c>
      <x:c r="F241" s="14" t="n">
        <x:v>8</x:v>
      </x:c>
      <x:c r="G241" s="14" t="str">
        <x:v>Q3</x:v>
      </x:c>
      <x:c r="H241" s="14" t="n">
        <x:v>2026</x:v>
      </x:c>
      <x:c r="I241" s="14" t="n">
        <x:v>1</x:v>
      </x:c>
    </x:row>
    <x:row r="242">
      <x:c r="A242" s="14" t="n">
        <x:v>20260829</x:v>
      </x:c>
      <x:c r="B242" s="20" t="str">
        <x:v>2026-08-29</x:v>
      </x:c>
      <x:c r="C242" s="14" t="str">
        <x:v>Saturday</x:v>
      </x:c>
      <x:c r="D242" s="14" t="n">
        <x:v>35</x:v>
      </x:c>
      <x:c r="E242" s="14" t="str">
        <x:v>August</x:v>
      </x:c>
      <x:c r="F242" s="14" t="n">
        <x:v>8</x:v>
      </x:c>
      <x:c r="G242" s="14" t="str">
        <x:v>Q3</x:v>
      </x:c>
      <x:c r="H242" s="14" t="n">
        <x:v>2026</x:v>
      </x:c>
      <x:c r="I242" s="14" t="n">
        <x:v>0</x:v>
      </x:c>
    </x:row>
    <x:row r="243">
      <x:c r="A243" s="14" t="n">
        <x:v>20260830</x:v>
      </x:c>
      <x:c r="B243" s="20" t="str">
        <x:v>2026-08-30</x:v>
      </x:c>
      <x:c r="C243" s="14" t="str">
        <x:v>Sunday</x:v>
      </x:c>
      <x:c r="D243" s="14" t="n">
        <x:v>35</x:v>
      </x:c>
      <x:c r="E243" s="14" t="str">
        <x:v>August</x:v>
      </x:c>
      <x:c r="F243" s="14" t="n">
        <x:v>8</x:v>
      </x:c>
      <x:c r="G243" s="14" t="str">
        <x:v>Q3</x:v>
      </x:c>
      <x:c r="H243" s="14" t="n">
        <x:v>2026</x:v>
      </x:c>
      <x:c r="I243" s="14" t="n">
        <x:v>0</x:v>
      </x:c>
    </x:row>
    <x:row r="244">
      <x:c r="A244" s="14" t="n">
        <x:v>20260831</x:v>
      </x:c>
      <x:c r="B244" s="20" t="str">
        <x:v>2026-08-31</x:v>
      </x:c>
      <x:c r="C244" s="14" t="str">
        <x:v>Monday</x:v>
      </x:c>
      <x:c r="D244" s="14" t="n">
        <x:v>36</x:v>
      </x:c>
      <x:c r="E244" s="14" t="str">
        <x:v>August</x:v>
      </x:c>
      <x:c r="F244" s="14" t="n">
        <x:v>8</x:v>
      </x:c>
      <x:c r="G244" s="14" t="str">
        <x:v>Q3</x:v>
      </x:c>
      <x:c r="H244" s="14" t="n">
        <x:v>2026</x:v>
      </x:c>
      <x:c r="I244" s="14" t="n">
        <x:v>1</x:v>
      </x:c>
    </x:row>
    <x:row r="245">
      <x:c r="A245" s="14" t="n">
        <x:v>20260901</x:v>
      </x:c>
      <x:c r="B245" s="20" t="str">
        <x:v>2026-09-01</x:v>
      </x:c>
      <x:c r="C245" s="14" t="str">
        <x:v>Tuesday</x:v>
      </x:c>
      <x:c r="D245" s="14" t="n">
        <x:v>36</x:v>
      </x:c>
      <x:c r="E245" s="14" t="str">
        <x:v>September</x:v>
      </x:c>
      <x:c r="F245" s="14" t="n">
        <x:v>9</x:v>
      </x:c>
      <x:c r="G245" s="14" t="str">
        <x:v>Q3</x:v>
      </x:c>
      <x:c r="H245" s="14" t="n">
        <x:v>2026</x:v>
      </x:c>
      <x:c r="I245" s="14" t="n">
        <x:v>1</x:v>
      </x:c>
    </x:row>
    <x:row r="246">
      <x:c r="A246" s="14" t="n">
        <x:v>20260902</x:v>
      </x:c>
      <x:c r="B246" s="20" t="str">
        <x:v>2026-09-02</x:v>
      </x:c>
      <x:c r="C246" s="14" t="str">
        <x:v>Wednesday</x:v>
      </x:c>
      <x:c r="D246" s="14" t="n">
        <x:v>36</x:v>
      </x:c>
      <x:c r="E246" s="14" t="str">
        <x:v>September</x:v>
      </x:c>
      <x:c r="F246" s="14" t="n">
        <x:v>9</x:v>
      </x:c>
      <x:c r="G246" s="14" t="str">
        <x:v>Q3</x:v>
      </x:c>
      <x:c r="H246" s="14" t="n">
        <x:v>2026</x:v>
      </x:c>
      <x:c r="I246" s="14" t="n">
        <x:v>1</x:v>
      </x:c>
    </x:row>
    <x:row r="247">
      <x:c r="A247" s="14" t="n">
        <x:v>20260903</x:v>
      </x:c>
      <x:c r="B247" s="20" t="str">
        <x:v>2026-09-03</x:v>
      </x:c>
      <x:c r="C247" s="14" t="str">
        <x:v>Thursday</x:v>
      </x:c>
      <x:c r="D247" s="14" t="n">
        <x:v>36</x:v>
      </x:c>
      <x:c r="E247" s="14" t="str">
        <x:v>September</x:v>
      </x:c>
      <x:c r="F247" s="14" t="n">
        <x:v>9</x:v>
      </x:c>
      <x:c r="G247" s="14" t="str">
        <x:v>Q3</x:v>
      </x:c>
      <x:c r="H247" s="14" t="n">
        <x:v>2026</x:v>
      </x:c>
      <x:c r="I247" s="14" t="n">
        <x:v>1</x:v>
      </x:c>
    </x:row>
    <x:row r="248">
      <x:c r="A248" s="14" t="n">
        <x:v>20260904</x:v>
      </x:c>
      <x:c r="B248" s="20" t="str">
        <x:v>2026-09-04</x:v>
      </x:c>
      <x:c r="C248" s="14" t="str">
        <x:v>Friday</x:v>
      </x:c>
      <x:c r="D248" s="14" t="n">
        <x:v>36</x:v>
      </x:c>
      <x:c r="E248" s="14" t="str">
        <x:v>September</x:v>
      </x:c>
      <x:c r="F248" s="14" t="n">
        <x:v>9</x:v>
      </x:c>
      <x:c r="G248" s="14" t="str">
        <x:v>Q3</x:v>
      </x:c>
      <x:c r="H248" s="14" t="n">
        <x:v>2026</x:v>
      </x:c>
      <x:c r="I248" s="14" t="n">
        <x:v>1</x:v>
      </x:c>
    </x:row>
    <x:row r="249">
      <x:c r="A249" s="14" t="n">
        <x:v>20260905</x:v>
      </x:c>
      <x:c r="B249" s="20" t="str">
        <x:v>2026-09-05</x:v>
      </x:c>
      <x:c r="C249" s="14" t="str">
        <x:v>Saturday</x:v>
      </x:c>
      <x:c r="D249" s="14" t="n">
        <x:v>36</x:v>
      </x:c>
      <x:c r="E249" s="14" t="str">
        <x:v>September</x:v>
      </x:c>
      <x:c r="F249" s="14" t="n">
        <x:v>9</x:v>
      </x:c>
      <x:c r="G249" s="14" t="str">
        <x:v>Q3</x:v>
      </x:c>
      <x:c r="H249" s="14" t="n">
        <x:v>2026</x:v>
      </x:c>
      <x:c r="I249" s="14" t="n">
        <x:v>0</x:v>
      </x:c>
    </x:row>
    <x:row r="250">
      <x:c r="A250" s="14" t="n">
        <x:v>20260906</x:v>
      </x:c>
      <x:c r="B250" s="20" t="str">
        <x:v>2026-09-06</x:v>
      </x:c>
      <x:c r="C250" s="14" t="str">
        <x:v>Sunday</x:v>
      </x:c>
      <x:c r="D250" s="14" t="n">
        <x:v>36</x:v>
      </x:c>
      <x:c r="E250" s="14" t="str">
        <x:v>September</x:v>
      </x:c>
      <x:c r="F250" s="14" t="n">
        <x:v>9</x:v>
      </x:c>
      <x:c r="G250" s="14" t="str">
        <x:v>Q3</x:v>
      </x:c>
      <x:c r="H250" s="14" t="n">
        <x:v>2026</x:v>
      </x:c>
      <x:c r="I250" s="14" t="n">
        <x:v>0</x:v>
      </x:c>
    </x:row>
    <x:row r="251">
      <x:c r="A251" s="14" t="n">
        <x:v>20260907</x:v>
      </x:c>
      <x:c r="B251" s="20" t="str">
        <x:v>2026-09-07</x:v>
      </x:c>
      <x:c r="C251" s="14" t="str">
        <x:v>Monday</x:v>
      </x:c>
      <x:c r="D251" s="14" t="n">
        <x:v>37</x:v>
      </x:c>
      <x:c r="E251" s="14" t="str">
        <x:v>September</x:v>
      </x:c>
      <x:c r="F251" s="14" t="n">
        <x:v>9</x:v>
      </x:c>
      <x:c r="G251" s="14" t="str">
        <x:v>Q3</x:v>
      </x:c>
      <x:c r="H251" s="14" t="n">
        <x:v>2026</x:v>
      </x:c>
      <x:c r="I251" s="14" t="n">
        <x:v>1</x:v>
      </x:c>
    </x:row>
    <x:row r="252">
      <x:c r="A252" s="14" t="n">
        <x:v>20260908</x:v>
      </x:c>
      <x:c r="B252" s="20" t="str">
        <x:v>2026-09-08</x:v>
      </x:c>
      <x:c r="C252" s="14" t="str">
        <x:v>Tuesday</x:v>
      </x:c>
      <x:c r="D252" s="14" t="n">
        <x:v>37</x:v>
      </x:c>
      <x:c r="E252" s="14" t="str">
        <x:v>September</x:v>
      </x:c>
      <x:c r="F252" s="14" t="n">
        <x:v>9</x:v>
      </x:c>
      <x:c r="G252" s="14" t="str">
        <x:v>Q3</x:v>
      </x:c>
      <x:c r="H252" s="14" t="n">
        <x:v>2026</x:v>
      </x:c>
      <x:c r="I252" s="14" t="n">
        <x:v>1</x:v>
      </x:c>
    </x:row>
    <x:row r="253">
      <x:c r="A253" s="14" t="n">
        <x:v>20260909</x:v>
      </x:c>
      <x:c r="B253" s="20" t="str">
        <x:v>2026-09-09</x:v>
      </x:c>
      <x:c r="C253" s="14" t="str">
        <x:v>Wednesday</x:v>
      </x:c>
      <x:c r="D253" s="14" t="n">
        <x:v>37</x:v>
      </x:c>
      <x:c r="E253" s="14" t="str">
        <x:v>September</x:v>
      </x:c>
      <x:c r="F253" s="14" t="n">
        <x:v>9</x:v>
      </x:c>
      <x:c r="G253" s="14" t="str">
        <x:v>Q3</x:v>
      </x:c>
      <x:c r="H253" s="14" t="n">
        <x:v>2026</x:v>
      </x:c>
      <x:c r="I253" s="14" t="n">
        <x:v>1</x:v>
      </x:c>
    </x:row>
    <x:row r="254">
      <x:c r="A254" s="14" t="n">
        <x:v>20260910</x:v>
      </x:c>
      <x:c r="B254" s="20" t="str">
        <x:v>2026-09-10</x:v>
      </x:c>
      <x:c r="C254" s="14" t="str">
        <x:v>Thursday</x:v>
      </x:c>
      <x:c r="D254" s="14" t="n">
        <x:v>37</x:v>
      </x:c>
      <x:c r="E254" s="14" t="str">
        <x:v>September</x:v>
      </x:c>
      <x:c r="F254" s="14" t="n">
        <x:v>9</x:v>
      </x:c>
      <x:c r="G254" s="14" t="str">
        <x:v>Q3</x:v>
      </x:c>
      <x:c r="H254" s="14" t="n">
        <x:v>2026</x:v>
      </x:c>
      <x:c r="I254" s="14" t="n">
        <x:v>1</x:v>
      </x:c>
    </x:row>
    <x:row r="255">
      <x:c r="A255" s="14" t="n">
        <x:v>20260911</x:v>
      </x:c>
      <x:c r="B255" s="20" t="str">
        <x:v>2026-09-11</x:v>
      </x:c>
      <x:c r="C255" s="14" t="str">
        <x:v>Friday</x:v>
      </x:c>
      <x:c r="D255" s="14" t="n">
        <x:v>37</x:v>
      </x:c>
      <x:c r="E255" s="14" t="str">
        <x:v>September</x:v>
      </x:c>
      <x:c r="F255" s="14" t="n">
        <x:v>9</x:v>
      </x:c>
      <x:c r="G255" s="14" t="str">
        <x:v>Q3</x:v>
      </x:c>
      <x:c r="H255" s="14" t="n">
        <x:v>2026</x:v>
      </x:c>
      <x:c r="I255" s="14" t="n">
        <x:v>1</x:v>
      </x:c>
    </x:row>
    <x:row r="256">
      <x:c r="A256" s="14" t="n">
        <x:v>20260912</x:v>
      </x:c>
      <x:c r="B256" s="20" t="str">
        <x:v>2026-09-12</x:v>
      </x:c>
      <x:c r="C256" s="14" t="str">
        <x:v>Saturday</x:v>
      </x:c>
      <x:c r="D256" s="14" t="n">
        <x:v>37</x:v>
      </x:c>
      <x:c r="E256" s="14" t="str">
        <x:v>September</x:v>
      </x:c>
      <x:c r="F256" s="14" t="n">
        <x:v>9</x:v>
      </x:c>
      <x:c r="G256" s="14" t="str">
        <x:v>Q3</x:v>
      </x:c>
      <x:c r="H256" s="14" t="n">
        <x:v>2026</x:v>
      </x:c>
      <x:c r="I256" s="14" t="n">
        <x:v>0</x:v>
      </x:c>
    </x:row>
    <x:row r="257">
      <x:c r="A257" s="14" t="n">
        <x:v>20260913</x:v>
      </x:c>
      <x:c r="B257" s="20" t="str">
        <x:v>2026-09-13</x:v>
      </x:c>
      <x:c r="C257" s="14" t="str">
        <x:v>Sunday</x:v>
      </x:c>
      <x:c r="D257" s="14" t="n">
        <x:v>37</x:v>
      </x:c>
      <x:c r="E257" s="14" t="str">
        <x:v>September</x:v>
      </x:c>
      <x:c r="F257" s="14" t="n">
        <x:v>9</x:v>
      </x:c>
      <x:c r="G257" s="14" t="str">
        <x:v>Q3</x:v>
      </x:c>
      <x:c r="H257" s="14" t="n">
        <x:v>2026</x:v>
      </x:c>
      <x:c r="I257" s="14" t="n">
        <x:v>0</x:v>
      </x:c>
    </x:row>
    <x:row r="258">
      <x:c r="A258" s="14" t="n">
        <x:v>20260914</x:v>
      </x:c>
      <x:c r="B258" s="20" t="str">
        <x:v>2026-09-14</x:v>
      </x:c>
      <x:c r="C258" s="14" t="str">
        <x:v>Monday</x:v>
      </x:c>
      <x:c r="D258" s="14" t="n">
        <x:v>38</x:v>
      </x:c>
      <x:c r="E258" s="14" t="str">
        <x:v>September</x:v>
      </x:c>
      <x:c r="F258" s="14" t="n">
        <x:v>9</x:v>
      </x:c>
      <x:c r="G258" s="14" t="str">
        <x:v>Q3</x:v>
      </x:c>
      <x:c r="H258" s="14" t="n">
        <x:v>2026</x:v>
      </x:c>
      <x:c r="I258" s="14" t="n">
        <x:v>1</x:v>
      </x:c>
    </x:row>
    <x:row r="259">
      <x:c r="A259" s="14" t="n">
        <x:v>20260915</x:v>
      </x:c>
      <x:c r="B259" s="20" t="str">
        <x:v>2026-09-15</x:v>
      </x:c>
      <x:c r="C259" s="14" t="str">
        <x:v>Tuesday</x:v>
      </x:c>
      <x:c r="D259" s="14" t="n">
        <x:v>38</x:v>
      </x:c>
      <x:c r="E259" s="14" t="str">
        <x:v>September</x:v>
      </x:c>
      <x:c r="F259" s="14" t="n">
        <x:v>9</x:v>
      </x:c>
      <x:c r="G259" s="14" t="str">
        <x:v>Q3</x:v>
      </x:c>
      <x:c r="H259" s="14" t="n">
        <x:v>2026</x:v>
      </x:c>
      <x:c r="I259" s="14" t="n">
        <x:v>1</x:v>
      </x:c>
    </x:row>
    <x:row r="260">
      <x:c r="A260" s="14" t="n">
        <x:v>20260916</x:v>
      </x:c>
      <x:c r="B260" s="20" t="str">
        <x:v>2026-09-16</x:v>
      </x:c>
      <x:c r="C260" s="14" t="str">
        <x:v>Wednesday</x:v>
      </x:c>
      <x:c r="D260" s="14" t="n">
        <x:v>38</x:v>
      </x:c>
      <x:c r="E260" s="14" t="str">
        <x:v>September</x:v>
      </x:c>
      <x:c r="F260" s="14" t="n">
        <x:v>9</x:v>
      </x:c>
      <x:c r="G260" s="14" t="str">
        <x:v>Q3</x:v>
      </x:c>
      <x:c r="H260" s="14" t="n">
        <x:v>2026</x:v>
      </x:c>
      <x:c r="I260" s="14" t="n">
        <x:v>1</x:v>
      </x:c>
    </x:row>
    <x:row r="261">
      <x:c r="A261" s="14" t="n">
        <x:v>20260917</x:v>
      </x:c>
      <x:c r="B261" s="20" t="str">
        <x:v>2026-09-17</x:v>
      </x:c>
      <x:c r="C261" s="14" t="str">
        <x:v>Thursday</x:v>
      </x:c>
      <x:c r="D261" s="14" t="n">
        <x:v>38</x:v>
      </x:c>
      <x:c r="E261" s="14" t="str">
        <x:v>September</x:v>
      </x:c>
      <x:c r="F261" s="14" t="n">
        <x:v>9</x:v>
      </x:c>
      <x:c r="G261" s="14" t="str">
        <x:v>Q3</x:v>
      </x:c>
      <x:c r="H261" s="14" t="n">
        <x:v>2026</x:v>
      </x:c>
      <x:c r="I261" s="14" t="n">
        <x:v>1</x:v>
      </x:c>
    </x:row>
    <x:row r="262">
      <x:c r="A262" s="14" t="n">
        <x:v>20260918</x:v>
      </x:c>
      <x:c r="B262" s="20" t="str">
        <x:v>2026-09-18</x:v>
      </x:c>
      <x:c r="C262" s="14" t="str">
        <x:v>Friday</x:v>
      </x:c>
      <x:c r="D262" s="14" t="n">
        <x:v>38</x:v>
      </x:c>
      <x:c r="E262" s="14" t="str">
        <x:v>September</x:v>
      </x:c>
      <x:c r="F262" s="14" t="n">
        <x:v>9</x:v>
      </x:c>
      <x:c r="G262" s="14" t="str">
        <x:v>Q3</x:v>
      </x:c>
      <x:c r="H262" s="14" t="n">
        <x:v>2026</x:v>
      </x:c>
      <x:c r="I262" s="14" t="n">
        <x:v>1</x:v>
      </x:c>
    </x:row>
    <x:row r="263">
      <x:c r="A263" s="14" t="n">
        <x:v>20260919</x:v>
      </x:c>
      <x:c r="B263" s="20" t="str">
        <x:v>2026-09-19</x:v>
      </x:c>
      <x:c r="C263" s="14" t="str">
        <x:v>Saturday</x:v>
      </x:c>
      <x:c r="D263" s="14" t="n">
        <x:v>38</x:v>
      </x:c>
      <x:c r="E263" s="14" t="str">
        <x:v>September</x:v>
      </x:c>
      <x:c r="F263" s="14" t="n">
        <x:v>9</x:v>
      </x:c>
      <x:c r="G263" s="14" t="str">
        <x:v>Q3</x:v>
      </x:c>
      <x:c r="H263" s="14" t="n">
        <x:v>2026</x:v>
      </x:c>
      <x:c r="I263" s="14" t="n">
        <x:v>0</x:v>
      </x:c>
    </x:row>
    <x:row r="264">
      <x:c r="A264" s="14" t="n">
        <x:v>20260920</x:v>
      </x:c>
      <x:c r="B264" s="20" t="str">
        <x:v>2026-09-20</x:v>
      </x:c>
      <x:c r="C264" s="14" t="str">
        <x:v>Sunday</x:v>
      </x:c>
      <x:c r="D264" s="14" t="n">
        <x:v>38</x:v>
      </x:c>
      <x:c r="E264" s="14" t="str">
        <x:v>September</x:v>
      </x:c>
      <x:c r="F264" s="14" t="n">
        <x:v>9</x:v>
      </x:c>
      <x:c r="G264" s="14" t="str">
        <x:v>Q3</x:v>
      </x:c>
      <x:c r="H264" s="14" t="n">
        <x:v>2026</x:v>
      </x:c>
      <x:c r="I264" s="14" t="n">
        <x:v>0</x:v>
      </x:c>
    </x:row>
    <x:row r="265">
      <x:c r="A265" s="14" t="n">
        <x:v>20260921</x:v>
      </x:c>
      <x:c r="B265" s="20" t="str">
        <x:v>2026-09-21</x:v>
      </x:c>
      <x:c r="C265" s="14" t="str">
        <x:v>Monday</x:v>
      </x:c>
      <x:c r="D265" s="14" t="n">
        <x:v>39</x:v>
      </x:c>
      <x:c r="E265" s="14" t="str">
        <x:v>September</x:v>
      </x:c>
      <x:c r="F265" s="14" t="n">
        <x:v>9</x:v>
      </x:c>
      <x:c r="G265" s="14" t="str">
        <x:v>Q3</x:v>
      </x:c>
      <x:c r="H265" s="14" t="n">
        <x:v>2026</x:v>
      </x:c>
      <x:c r="I265" s="14" t="n">
        <x:v>1</x:v>
      </x:c>
    </x:row>
    <x:row r="266">
      <x:c r="A266" s="14" t="n">
        <x:v>20260922</x:v>
      </x:c>
      <x:c r="B266" s="20" t="str">
        <x:v>2026-09-22</x:v>
      </x:c>
      <x:c r="C266" s="14" t="str">
        <x:v>Tuesday</x:v>
      </x:c>
      <x:c r="D266" s="14" t="n">
        <x:v>39</x:v>
      </x:c>
      <x:c r="E266" s="14" t="str">
        <x:v>September</x:v>
      </x:c>
      <x:c r="F266" s="14" t="n">
        <x:v>9</x:v>
      </x:c>
      <x:c r="G266" s="14" t="str">
        <x:v>Q3</x:v>
      </x:c>
      <x:c r="H266" s="14" t="n">
        <x:v>2026</x:v>
      </x:c>
      <x:c r="I266" s="14" t="n">
        <x:v>1</x:v>
      </x:c>
    </x:row>
    <x:row r="267">
      <x:c r="A267" s="14" t="n">
        <x:v>20260923</x:v>
      </x:c>
      <x:c r="B267" s="20" t="str">
        <x:v>2026-09-23</x:v>
      </x:c>
      <x:c r="C267" s="14" t="str">
        <x:v>Wednesday</x:v>
      </x:c>
      <x:c r="D267" s="14" t="n">
        <x:v>39</x:v>
      </x:c>
      <x:c r="E267" s="14" t="str">
        <x:v>September</x:v>
      </x:c>
      <x:c r="F267" s="14" t="n">
        <x:v>9</x:v>
      </x:c>
      <x:c r="G267" s="14" t="str">
        <x:v>Q3</x:v>
      </x:c>
      <x:c r="H267" s="14" t="n">
        <x:v>2026</x:v>
      </x:c>
      <x:c r="I267" s="14" t="n">
        <x:v>1</x:v>
      </x:c>
    </x:row>
    <x:row r="268">
      <x:c r="A268" s="14" t="n">
        <x:v>20260924</x:v>
      </x:c>
      <x:c r="B268" s="20" t="str">
        <x:v>2026-09-24</x:v>
      </x:c>
      <x:c r="C268" s="14" t="str">
        <x:v>Thursday</x:v>
      </x:c>
      <x:c r="D268" s="14" t="n">
        <x:v>39</x:v>
      </x:c>
      <x:c r="E268" s="14" t="str">
        <x:v>September</x:v>
      </x:c>
      <x:c r="F268" s="14" t="n">
        <x:v>9</x:v>
      </x:c>
      <x:c r="G268" s="14" t="str">
        <x:v>Q3</x:v>
      </x:c>
      <x:c r="H268" s="14" t="n">
        <x:v>2026</x:v>
      </x:c>
      <x:c r="I268" s="14" t="n">
        <x:v>1</x:v>
      </x:c>
    </x:row>
    <x:row r="269">
      <x:c r="A269" s="14" t="n">
        <x:v>20260925</x:v>
      </x:c>
      <x:c r="B269" s="20" t="str">
        <x:v>2026-09-25</x:v>
      </x:c>
      <x:c r="C269" s="14" t="str">
        <x:v>Friday</x:v>
      </x:c>
      <x:c r="D269" s="14" t="n">
        <x:v>39</x:v>
      </x:c>
      <x:c r="E269" s="14" t="str">
        <x:v>September</x:v>
      </x:c>
      <x:c r="F269" s="14" t="n">
        <x:v>9</x:v>
      </x:c>
      <x:c r="G269" s="14" t="str">
        <x:v>Q3</x:v>
      </x:c>
      <x:c r="H269" s="14" t="n">
        <x:v>2026</x:v>
      </x:c>
      <x:c r="I269" s="14" t="n">
        <x:v>1</x:v>
      </x:c>
    </x:row>
    <x:row r="270">
      <x:c r="A270" s="14" t="n">
        <x:v>20260926</x:v>
      </x:c>
      <x:c r="B270" s="20" t="str">
        <x:v>2026-09-26</x:v>
      </x:c>
      <x:c r="C270" s="14" t="str">
        <x:v>Saturday</x:v>
      </x:c>
      <x:c r="D270" s="14" t="n">
        <x:v>39</x:v>
      </x:c>
      <x:c r="E270" s="14" t="str">
        <x:v>September</x:v>
      </x:c>
      <x:c r="F270" s="14" t="n">
        <x:v>9</x:v>
      </x:c>
      <x:c r="G270" s="14" t="str">
        <x:v>Q3</x:v>
      </x:c>
      <x:c r="H270" s="14" t="n">
        <x:v>2026</x:v>
      </x:c>
      <x:c r="I270" s="14" t="n">
        <x:v>0</x:v>
      </x:c>
    </x:row>
    <x:row r="271">
      <x:c r="A271" s="14" t="n">
        <x:v>20260927</x:v>
      </x:c>
      <x:c r="B271" s="20" t="str">
        <x:v>2026-09-27</x:v>
      </x:c>
      <x:c r="C271" s="14" t="str">
        <x:v>Sunday</x:v>
      </x:c>
      <x:c r="D271" s="14" t="n">
        <x:v>39</x:v>
      </x:c>
      <x:c r="E271" s="14" t="str">
        <x:v>September</x:v>
      </x:c>
      <x:c r="F271" s="14" t="n">
        <x:v>9</x:v>
      </x:c>
      <x:c r="G271" s="14" t="str">
        <x:v>Q3</x:v>
      </x:c>
      <x:c r="H271" s="14" t="n">
        <x:v>2026</x:v>
      </x:c>
      <x:c r="I271" s="14" t="n">
        <x:v>0</x:v>
      </x:c>
    </x:row>
    <x:row r="272">
      <x:c r="A272" s="14" t="n">
        <x:v>20260928</x:v>
      </x:c>
      <x:c r="B272" s="20" t="str">
        <x:v>2026-09-28</x:v>
      </x:c>
      <x:c r="C272" s="14" t="str">
        <x:v>Monday</x:v>
      </x:c>
      <x:c r="D272" s="14" t="n">
        <x:v>40</x:v>
      </x:c>
      <x:c r="E272" s="14" t="str">
        <x:v>September</x:v>
      </x:c>
      <x:c r="F272" s="14" t="n">
        <x:v>9</x:v>
      </x:c>
      <x:c r="G272" s="14" t="str">
        <x:v>Q3</x:v>
      </x:c>
      <x:c r="H272" s="14" t="n">
        <x:v>2026</x:v>
      </x:c>
      <x:c r="I272" s="14" t="n">
        <x:v>1</x:v>
      </x:c>
    </x:row>
    <x:row r="273">
      <x:c r="A273" s="14" t="n">
        <x:v>20260929</x:v>
      </x:c>
      <x:c r="B273" s="20" t="str">
        <x:v>2026-09-29</x:v>
      </x:c>
      <x:c r="C273" s="14" t="str">
        <x:v>Tuesday</x:v>
      </x:c>
      <x:c r="D273" s="14" t="n">
        <x:v>40</x:v>
      </x:c>
      <x:c r="E273" s="14" t="str">
        <x:v>September</x:v>
      </x:c>
      <x:c r="F273" s="14" t="n">
        <x:v>9</x:v>
      </x:c>
      <x:c r="G273" s="14" t="str">
        <x:v>Q3</x:v>
      </x:c>
      <x:c r="H273" s="14" t="n">
        <x:v>2026</x:v>
      </x:c>
      <x:c r="I273" s="14" t="n">
        <x:v>1</x:v>
      </x:c>
    </x:row>
    <x:row r="274">
      <x:c r="A274" s="14" t="n">
        <x:v>20260930</x:v>
      </x:c>
      <x:c r="B274" s="20" t="str">
        <x:v>2026-09-30</x:v>
      </x:c>
      <x:c r="C274" s="14" t="str">
        <x:v>Wednesday</x:v>
      </x:c>
      <x:c r="D274" s="14" t="n">
        <x:v>40</x:v>
      </x:c>
      <x:c r="E274" s="14" t="str">
        <x:v>September</x:v>
      </x:c>
      <x:c r="F274" s="14" t="n">
        <x:v>9</x:v>
      </x:c>
      <x:c r="G274" s="14" t="str">
        <x:v>Q3</x:v>
      </x:c>
      <x:c r="H274" s="14" t="n">
        <x:v>2026</x:v>
      </x:c>
      <x:c r="I274" s="14" t="n">
        <x:v>1</x:v>
      </x:c>
    </x:row>
    <x:row r="275">
      <x:c r="A275" s="14" t="n">
        <x:v>20261001</x:v>
      </x:c>
      <x:c r="B275" s="20" t="str">
        <x:v>2026-10-01</x:v>
      </x:c>
      <x:c r="C275" s="14" t="str">
        <x:v>Thursday</x:v>
      </x:c>
      <x:c r="D275" s="14" t="n">
        <x:v>40</x:v>
      </x:c>
      <x:c r="E275" s="14" t="str">
        <x:v>October</x:v>
      </x:c>
      <x:c r="F275" s="14" t="n">
        <x:v>10</x:v>
      </x:c>
      <x:c r="G275" s="14" t="str">
        <x:v>Q4</x:v>
      </x:c>
      <x:c r="H275" s="14" t="n">
        <x:v>2026</x:v>
      </x:c>
      <x:c r="I275" s="14" t="n">
        <x:v>1</x:v>
      </x:c>
    </x:row>
    <x:row r="276">
      <x:c r="A276" s="14" t="n">
        <x:v>20261002</x:v>
      </x:c>
      <x:c r="B276" s="20" t="str">
        <x:v>2026-10-02</x:v>
      </x:c>
      <x:c r="C276" s="14" t="str">
        <x:v>Friday</x:v>
      </x:c>
      <x:c r="D276" s="14" t="n">
        <x:v>40</x:v>
      </x:c>
      <x:c r="E276" s="14" t="str">
        <x:v>October</x:v>
      </x:c>
      <x:c r="F276" s="14" t="n">
        <x:v>10</x:v>
      </x:c>
      <x:c r="G276" s="14" t="str">
        <x:v>Q4</x:v>
      </x:c>
      <x:c r="H276" s="14" t="n">
        <x:v>2026</x:v>
      </x:c>
      <x:c r="I276" s="14" t="n">
        <x:v>1</x:v>
      </x:c>
    </x:row>
    <x:row r="277">
      <x:c r="A277" s="14" t="n">
        <x:v>20261003</x:v>
      </x:c>
      <x:c r="B277" s="20" t="str">
        <x:v>2026-10-03</x:v>
      </x:c>
      <x:c r="C277" s="14" t="str">
        <x:v>Saturday</x:v>
      </x:c>
      <x:c r="D277" s="14" t="n">
        <x:v>40</x:v>
      </x:c>
      <x:c r="E277" s="14" t="str">
        <x:v>October</x:v>
      </x:c>
      <x:c r="F277" s="14" t="n">
        <x:v>10</x:v>
      </x:c>
      <x:c r="G277" s="14" t="str">
        <x:v>Q4</x:v>
      </x:c>
      <x:c r="H277" s="14" t="n">
        <x:v>2026</x:v>
      </x:c>
      <x:c r="I277" s="14" t="n">
        <x:v>0</x:v>
      </x:c>
    </x:row>
    <x:row r="278">
      <x:c r="A278" s="14" t="n">
        <x:v>20261004</x:v>
      </x:c>
      <x:c r="B278" s="20" t="str">
        <x:v>2026-10-04</x:v>
      </x:c>
      <x:c r="C278" s="14" t="str">
        <x:v>Sunday</x:v>
      </x:c>
      <x:c r="D278" s="14" t="n">
        <x:v>40</x:v>
      </x:c>
      <x:c r="E278" s="14" t="str">
        <x:v>October</x:v>
      </x:c>
      <x:c r="F278" s="14" t="n">
        <x:v>10</x:v>
      </x:c>
      <x:c r="G278" s="14" t="str">
        <x:v>Q4</x:v>
      </x:c>
      <x:c r="H278" s="14" t="n">
        <x:v>2026</x:v>
      </x:c>
      <x:c r="I278" s="14" t="n">
        <x:v>0</x:v>
      </x:c>
    </x:row>
    <x:row r="279">
      <x:c r="A279" s="14" t="n">
        <x:v>20261005</x:v>
      </x:c>
      <x:c r="B279" s="20" t="str">
        <x:v>2026-10-05</x:v>
      </x:c>
      <x:c r="C279" s="14" t="str">
        <x:v>Monday</x:v>
      </x:c>
      <x:c r="D279" s="14" t="n">
        <x:v>41</x:v>
      </x:c>
      <x:c r="E279" s="14" t="str">
        <x:v>October</x:v>
      </x:c>
      <x:c r="F279" s="14" t="n">
        <x:v>10</x:v>
      </x:c>
      <x:c r="G279" s="14" t="str">
        <x:v>Q4</x:v>
      </x:c>
      <x:c r="H279" s="14" t="n">
        <x:v>2026</x:v>
      </x:c>
      <x:c r="I279" s="14" t="n">
        <x:v>1</x:v>
      </x:c>
    </x:row>
    <x:row r="280">
      <x:c r="A280" s="14" t="n">
        <x:v>20261006</x:v>
      </x:c>
      <x:c r="B280" s="20" t="str">
        <x:v>2026-10-06</x:v>
      </x:c>
      <x:c r="C280" s="14" t="str">
        <x:v>Tuesday</x:v>
      </x:c>
      <x:c r="D280" s="14" t="n">
        <x:v>41</x:v>
      </x:c>
      <x:c r="E280" s="14" t="str">
        <x:v>October</x:v>
      </x:c>
      <x:c r="F280" s="14" t="n">
        <x:v>10</x:v>
      </x:c>
      <x:c r="G280" s="14" t="str">
        <x:v>Q4</x:v>
      </x:c>
      <x:c r="H280" s="14" t="n">
        <x:v>2026</x:v>
      </x:c>
      <x:c r="I280" s="14" t="n">
        <x:v>1</x:v>
      </x:c>
    </x:row>
    <x:row r="281">
      <x:c r="A281" s="14" t="n">
        <x:v>20261007</x:v>
      </x:c>
      <x:c r="B281" s="20" t="str">
        <x:v>2026-10-07</x:v>
      </x:c>
      <x:c r="C281" s="14" t="str">
        <x:v>Wednesday</x:v>
      </x:c>
      <x:c r="D281" s="14" t="n">
        <x:v>41</x:v>
      </x:c>
      <x:c r="E281" s="14" t="str">
        <x:v>October</x:v>
      </x:c>
      <x:c r="F281" s="14" t="n">
        <x:v>10</x:v>
      </x:c>
      <x:c r="G281" s="14" t="str">
        <x:v>Q4</x:v>
      </x:c>
      <x:c r="H281" s="14" t="n">
        <x:v>2026</x:v>
      </x:c>
      <x:c r="I281" s="14" t="n">
        <x:v>1</x:v>
      </x:c>
    </x:row>
    <x:row r="282">
      <x:c r="A282" s="14" t="n">
        <x:v>20261008</x:v>
      </x:c>
      <x:c r="B282" s="20" t="str">
        <x:v>2026-10-08</x:v>
      </x:c>
      <x:c r="C282" s="14" t="str">
        <x:v>Thursday</x:v>
      </x:c>
      <x:c r="D282" s="14" t="n">
        <x:v>41</x:v>
      </x:c>
      <x:c r="E282" s="14" t="str">
        <x:v>October</x:v>
      </x:c>
      <x:c r="F282" s="14" t="n">
        <x:v>10</x:v>
      </x:c>
      <x:c r="G282" s="14" t="str">
        <x:v>Q4</x:v>
      </x:c>
      <x:c r="H282" s="14" t="n">
        <x:v>2026</x:v>
      </x:c>
      <x:c r="I282" s="14" t="n">
        <x:v>1</x:v>
      </x:c>
    </x:row>
    <x:row r="283">
      <x:c r="A283" s="14" t="n">
        <x:v>20261009</x:v>
      </x:c>
      <x:c r="B283" s="20" t="str">
        <x:v>2026-10-09</x:v>
      </x:c>
      <x:c r="C283" s="14" t="str">
        <x:v>Friday</x:v>
      </x:c>
      <x:c r="D283" s="14" t="n">
        <x:v>41</x:v>
      </x:c>
      <x:c r="E283" s="14" t="str">
        <x:v>October</x:v>
      </x:c>
      <x:c r="F283" s="14" t="n">
        <x:v>10</x:v>
      </x:c>
      <x:c r="G283" s="14" t="str">
        <x:v>Q4</x:v>
      </x:c>
      <x:c r="H283" s="14" t="n">
        <x:v>2026</x:v>
      </x:c>
      <x:c r="I283" s="14" t="n">
        <x:v>1</x:v>
      </x:c>
    </x:row>
    <x:row r="284">
      <x:c r="A284" s="14" t="n">
        <x:v>20261010</x:v>
      </x:c>
      <x:c r="B284" s="20" t="str">
        <x:v>2026-10-10</x:v>
      </x:c>
      <x:c r="C284" s="14" t="str">
        <x:v>Saturday</x:v>
      </x:c>
      <x:c r="D284" s="14" t="n">
        <x:v>41</x:v>
      </x:c>
      <x:c r="E284" s="14" t="str">
        <x:v>October</x:v>
      </x:c>
      <x:c r="F284" s="14" t="n">
        <x:v>10</x:v>
      </x:c>
      <x:c r="G284" s="14" t="str">
        <x:v>Q4</x:v>
      </x:c>
      <x:c r="H284" s="14" t="n">
        <x:v>2026</x:v>
      </x:c>
      <x:c r="I284" s="14" t="n">
        <x:v>0</x:v>
      </x:c>
    </x:row>
    <x:row r="285">
      <x:c r="A285" s="14" t="n">
        <x:v>20261011</x:v>
      </x:c>
      <x:c r="B285" s="20" t="str">
        <x:v>2026-10-11</x:v>
      </x:c>
      <x:c r="C285" s="14" t="str">
        <x:v>Sunday</x:v>
      </x:c>
      <x:c r="D285" s="14" t="n">
        <x:v>41</x:v>
      </x:c>
      <x:c r="E285" s="14" t="str">
        <x:v>October</x:v>
      </x:c>
      <x:c r="F285" s="14" t="n">
        <x:v>10</x:v>
      </x:c>
      <x:c r="G285" s="14" t="str">
        <x:v>Q4</x:v>
      </x:c>
      <x:c r="H285" s="14" t="n">
        <x:v>2026</x:v>
      </x:c>
      <x:c r="I285" s="14" t="n">
        <x:v>0</x:v>
      </x:c>
    </x:row>
    <x:row r="286">
      <x:c r="A286" s="14" t="n">
        <x:v>20261012</x:v>
      </x:c>
      <x:c r="B286" s="20" t="str">
        <x:v>2026-10-12</x:v>
      </x:c>
      <x:c r="C286" s="14" t="str">
        <x:v>Monday</x:v>
      </x:c>
      <x:c r="D286" s="14" t="n">
        <x:v>42</x:v>
      </x:c>
      <x:c r="E286" s="14" t="str">
        <x:v>October</x:v>
      </x:c>
      <x:c r="F286" s="14" t="n">
        <x:v>10</x:v>
      </x:c>
      <x:c r="G286" s="14" t="str">
        <x:v>Q4</x:v>
      </x:c>
      <x:c r="H286" s="14" t="n">
        <x:v>2026</x:v>
      </x:c>
      <x:c r="I286" s="14" t="n">
        <x:v>1</x:v>
      </x:c>
    </x:row>
    <x:row r="287">
      <x:c r="A287" s="14" t="n">
        <x:v>20261013</x:v>
      </x:c>
      <x:c r="B287" s="20" t="str">
        <x:v>2026-10-13</x:v>
      </x:c>
      <x:c r="C287" s="14" t="str">
        <x:v>Tuesday</x:v>
      </x:c>
      <x:c r="D287" s="14" t="n">
        <x:v>42</x:v>
      </x:c>
      <x:c r="E287" s="14" t="str">
        <x:v>October</x:v>
      </x:c>
      <x:c r="F287" s="14" t="n">
        <x:v>10</x:v>
      </x:c>
      <x:c r="G287" s="14" t="str">
        <x:v>Q4</x:v>
      </x:c>
      <x:c r="H287" s="14" t="n">
        <x:v>2026</x:v>
      </x:c>
      <x:c r="I287" s="14" t="n">
        <x:v>1</x:v>
      </x:c>
    </x:row>
    <x:row r="288">
      <x:c r="A288" s="14" t="n">
        <x:v>20261014</x:v>
      </x:c>
      <x:c r="B288" s="20" t="str">
        <x:v>2026-10-14</x:v>
      </x:c>
      <x:c r="C288" s="14" t="str">
        <x:v>Wednesday</x:v>
      </x:c>
      <x:c r="D288" s="14" t="n">
        <x:v>42</x:v>
      </x:c>
      <x:c r="E288" s="14" t="str">
        <x:v>October</x:v>
      </x:c>
      <x:c r="F288" s="14" t="n">
        <x:v>10</x:v>
      </x:c>
      <x:c r="G288" s="14" t="str">
        <x:v>Q4</x:v>
      </x:c>
      <x:c r="H288" s="14" t="n">
        <x:v>2026</x:v>
      </x:c>
      <x:c r="I288" s="14" t="n">
        <x:v>1</x:v>
      </x:c>
    </x:row>
    <x:row r="289">
      <x:c r="A289" s="14" t="n">
        <x:v>20261015</x:v>
      </x:c>
      <x:c r="B289" s="20" t="str">
        <x:v>2026-10-15</x:v>
      </x:c>
      <x:c r="C289" s="14" t="str">
        <x:v>Thursday</x:v>
      </x:c>
      <x:c r="D289" s="14" t="n">
        <x:v>42</x:v>
      </x:c>
      <x:c r="E289" s="14" t="str">
        <x:v>October</x:v>
      </x:c>
      <x:c r="F289" s="14" t="n">
        <x:v>10</x:v>
      </x:c>
      <x:c r="G289" s="14" t="str">
        <x:v>Q4</x:v>
      </x:c>
      <x:c r="H289" s="14" t="n">
        <x:v>2026</x:v>
      </x:c>
      <x:c r="I289" s="14" t="n">
        <x:v>1</x:v>
      </x:c>
    </x:row>
    <x:row r="290">
      <x:c r="A290" s="14" t="n">
        <x:v>20261016</x:v>
      </x:c>
      <x:c r="B290" s="20" t="str">
        <x:v>2026-10-16</x:v>
      </x:c>
      <x:c r="C290" s="14" t="str">
        <x:v>Friday</x:v>
      </x:c>
      <x:c r="D290" s="14" t="n">
        <x:v>42</x:v>
      </x:c>
      <x:c r="E290" s="14" t="str">
        <x:v>October</x:v>
      </x:c>
      <x:c r="F290" s="14" t="n">
        <x:v>10</x:v>
      </x:c>
      <x:c r="G290" s="14" t="str">
        <x:v>Q4</x:v>
      </x:c>
      <x:c r="H290" s="14" t="n">
        <x:v>2026</x:v>
      </x:c>
      <x:c r="I290" s="14" t="n">
        <x:v>1</x:v>
      </x:c>
    </x:row>
    <x:row r="291">
      <x:c r="A291" s="14" t="n">
        <x:v>20261017</x:v>
      </x:c>
      <x:c r="B291" s="20" t="str">
        <x:v>2026-10-17</x:v>
      </x:c>
      <x:c r="C291" s="14" t="str">
        <x:v>Saturday</x:v>
      </x:c>
      <x:c r="D291" s="14" t="n">
        <x:v>42</x:v>
      </x:c>
      <x:c r="E291" s="14" t="str">
        <x:v>October</x:v>
      </x:c>
      <x:c r="F291" s="14" t="n">
        <x:v>10</x:v>
      </x:c>
      <x:c r="G291" s="14" t="str">
        <x:v>Q4</x:v>
      </x:c>
      <x:c r="H291" s="14" t="n">
        <x:v>2026</x:v>
      </x:c>
      <x:c r="I291" s="14" t="n">
        <x:v>0</x:v>
      </x:c>
    </x:row>
    <x:row r="292">
      <x:c r="A292" s="14" t="n">
        <x:v>20261018</x:v>
      </x:c>
      <x:c r="B292" s="20" t="str">
        <x:v>2026-10-18</x:v>
      </x:c>
      <x:c r="C292" s="14" t="str">
        <x:v>Sunday</x:v>
      </x:c>
      <x:c r="D292" s="14" t="n">
        <x:v>42</x:v>
      </x:c>
      <x:c r="E292" s="14" t="str">
        <x:v>October</x:v>
      </x:c>
      <x:c r="F292" s="14" t="n">
        <x:v>10</x:v>
      </x:c>
      <x:c r="G292" s="14" t="str">
        <x:v>Q4</x:v>
      </x:c>
      <x:c r="H292" s="14" t="n">
        <x:v>2026</x:v>
      </x:c>
      <x:c r="I292" s="14" t="n">
        <x:v>0</x:v>
      </x:c>
    </x:row>
    <x:row r="293">
      <x:c r="A293" s="14" t="n">
        <x:v>20261019</x:v>
      </x:c>
      <x:c r="B293" s="20" t="str">
        <x:v>2026-10-19</x:v>
      </x:c>
      <x:c r="C293" s="14" t="str">
        <x:v>Monday</x:v>
      </x:c>
      <x:c r="D293" s="14" t="n">
        <x:v>43</x:v>
      </x:c>
      <x:c r="E293" s="14" t="str">
        <x:v>October</x:v>
      </x:c>
      <x:c r="F293" s="14" t="n">
        <x:v>10</x:v>
      </x:c>
      <x:c r="G293" s="14" t="str">
        <x:v>Q4</x:v>
      </x:c>
      <x:c r="H293" s="14" t="n">
        <x:v>2026</x:v>
      </x:c>
      <x:c r="I293" s="14" t="n">
        <x:v>1</x:v>
      </x:c>
    </x:row>
    <x:row r="294">
      <x:c r="A294" s="14" t="n">
        <x:v>20261020</x:v>
      </x:c>
      <x:c r="B294" s="20" t="str">
        <x:v>2026-10-20</x:v>
      </x:c>
      <x:c r="C294" s="14" t="str">
        <x:v>Tuesday</x:v>
      </x:c>
      <x:c r="D294" s="14" t="n">
        <x:v>43</x:v>
      </x:c>
      <x:c r="E294" s="14" t="str">
        <x:v>October</x:v>
      </x:c>
      <x:c r="F294" s="14" t="n">
        <x:v>10</x:v>
      </x:c>
      <x:c r="G294" s="14" t="str">
        <x:v>Q4</x:v>
      </x:c>
      <x:c r="H294" s="14" t="n">
        <x:v>2026</x:v>
      </x:c>
      <x:c r="I294" s="14" t="n">
        <x:v>1</x:v>
      </x:c>
    </x:row>
    <x:row r="295">
      <x:c r="A295" s="14" t="n">
        <x:v>20261021</x:v>
      </x:c>
      <x:c r="B295" s="20" t="str">
        <x:v>2026-10-21</x:v>
      </x:c>
      <x:c r="C295" s="14" t="str">
        <x:v>Wednesday</x:v>
      </x:c>
      <x:c r="D295" s="14" t="n">
        <x:v>43</x:v>
      </x:c>
      <x:c r="E295" s="14" t="str">
        <x:v>October</x:v>
      </x:c>
      <x:c r="F295" s="14" t="n">
        <x:v>10</x:v>
      </x:c>
      <x:c r="G295" s="14" t="str">
        <x:v>Q4</x:v>
      </x:c>
      <x:c r="H295" s="14" t="n">
        <x:v>2026</x:v>
      </x:c>
      <x:c r="I295" s="14" t="n">
        <x:v>1</x:v>
      </x:c>
    </x:row>
    <x:row r="296">
      <x:c r="A296" s="14" t="n">
        <x:v>20261022</x:v>
      </x:c>
      <x:c r="B296" s="20" t="str">
        <x:v>2026-10-22</x:v>
      </x:c>
      <x:c r="C296" s="14" t="str">
        <x:v>Thursday</x:v>
      </x:c>
      <x:c r="D296" s="14" t="n">
        <x:v>43</x:v>
      </x:c>
      <x:c r="E296" s="14" t="str">
        <x:v>October</x:v>
      </x:c>
      <x:c r="F296" s="14" t="n">
        <x:v>10</x:v>
      </x:c>
      <x:c r="G296" s="14" t="str">
        <x:v>Q4</x:v>
      </x:c>
      <x:c r="H296" s="14" t="n">
        <x:v>2026</x:v>
      </x:c>
      <x:c r="I296" s="14" t="n">
        <x:v>1</x:v>
      </x:c>
    </x:row>
    <x:row r="297">
      <x:c r="A297" s="14" t="n">
        <x:v>20261023</x:v>
      </x:c>
      <x:c r="B297" s="20" t="str">
        <x:v>2026-10-23</x:v>
      </x:c>
      <x:c r="C297" s="14" t="str">
        <x:v>Friday</x:v>
      </x:c>
      <x:c r="D297" s="14" t="n">
        <x:v>43</x:v>
      </x:c>
      <x:c r="E297" s="14" t="str">
        <x:v>October</x:v>
      </x:c>
      <x:c r="F297" s="14" t="n">
        <x:v>10</x:v>
      </x:c>
      <x:c r="G297" s="14" t="str">
        <x:v>Q4</x:v>
      </x:c>
      <x:c r="H297" s="14" t="n">
        <x:v>2026</x:v>
      </x:c>
      <x:c r="I297" s="14" t="n">
        <x:v>1</x:v>
      </x:c>
    </x:row>
    <x:row r="298">
      <x:c r="A298" s="14" t="n">
        <x:v>20261024</x:v>
      </x:c>
      <x:c r="B298" s="20" t="str">
        <x:v>2026-10-24</x:v>
      </x:c>
      <x:c r="C298" s="14" t="str">
        <x:v>Saturday</x:v>
      </x:c>
      <x:c r="D298" s="14" t="n">
        <x:v>43</x:v>
      </x:c>
      <x:c r="E298" s="14" t="str">
        <x:v>October</x:v>
      </x:c>
      <x:c r="F298" s="14" t="n">
        <x:v>10</x:v>
      </x:c>
      <x:c r="G298" s="14" t="str">
        <x:v>Q4</x:v>
      </x:c>
      <x:c r="H298" s="14" t="n">
        <x:v>2026</x:v>
      </x:c>
      <x:c r="I298" s="14" t="n">
        <x:v>0</x:v>
      </x:c>
    </x:row>
    <x:row r="299">
      <x:c r="A299" s="14" t="n">
        <x:v>20261025</x:v>
      </x:c>
      <x:c r="B299" s="20" t="str">
        <x:v>2026-10-25</x:v>
      </x:c>
      <x:c r="C299" s="14" t="str">
        <x:v>Sunday</x:v>
      </x:c>
      <x:c r="D299" s="14" t="n">
        <x:v>43</x:v>
      </x:c>
      <x:c r="E299" s="14" t="str">
        <x:v>October</x:v>
      </x:c>
      <x:c r="F299" s="14" t="n">
        <x:v>10</x:v>
      </x:c>
      <x:c r="G299" s="14" t="str">
        <x:v>Q4</x:v>
      </x:c>
      <x:c r="H299" s="14" t="n">
        <x:v>2026</x:v>
      </x:c>
      <x:c r="I299" s="14" t="n">
        <x:v>0</x:v>
      </x:c>
    </x:row>
    <x:row r="300">
      <x:c r="A300" s="14" t="n">
        <x:v>20261026</x:v>
      </x:c>
      <x:c r="B300" s="20" t="str">
        <x:v>2026-10-26</x:v>
      </x:c>
      <x:c r="C300" s="14" t="str">
        <x:v>Monday</x:v>
      </x:c>
      <x:c r="D300" s="14" t="n">
        <x:v>44</x:v>
      </x:c>
      <x:c r="E300" s="14" t="str">
        <x:v>October</x:v>
      </x:c>
      <x:c r="F300" s="14" t="n">
        <x:v>10</x:v>
      </x:c>
      <x:c r="G300" s="14" t="str">
        <x:v>Q4</x:v>
      </x:c>
      <x:c r="H300" s="14" t="n">
        <x:v>2026</x:v>
      </x:c>
      <x:c r="I300" s="14" t="n">
        <x:v>1</x:v>
      </x:c>
    </x:row>
    <x:row r="301">
      <x:c r="A301" s="14" t="n">
        <x:v>20261027</x:v>
      </x:c>
      <x:c r="B301" s="20" t="str">
        <x:v>2026-10-27</x:v>
      </x:c>
      <x:c r="C301" s="14" t="str">
        <x:v>Tuesday</x:v>
      </x:c>
      <x:c r="D301" s="14" t="n">
        <x:v>44</x:v>
      </x:c>
      <x:c r="E301" s="14" t="str">
        <x:v>October</x:v>
      </x:c>
      <x:c r="F301" s="14" t="n">
        <x:v>10</x:v>
      </x:c>
      <x:c r="G301" s="14" t="str">
        <x:v>Q4</x:v>
      </x:c>
      <x:c r="H301" s="14" t="n">
        <x:v>2026</x:v>
      </x:c>
      <x:c r="I301" s="14" t="n">
        <x:v>1</x:v>
      </x:c>
    </x:row>
    <x:row r="302">
      <x:c r="A302" s="14" t="n">
        <x:v>20261028</x:v>
      </x:c>
      <x:c r="B302" s="20" t="str">
        <x:v>2026-10-28</x:v>
      </x:c>
      <x:c r="C302" s="14" t="str">
        <x:v>Wednesday</x:v>
      </x:c>
      <x:c r="D302" s="14" t="n">
        <x:v>44</x:v>
      </x:c>
      <x:c r="E302" s="14" t="str">
        <x:v>October</x:v>
      </x:c>
      <x:c r="F302" s="14" t="n">
        <x:v>10</x:v>
      </x:c>
      <x:c r="G302" s="14" t="str">
        <x:v>Q4</x:v>
      </x:c>
      <x:c r="H302" s="14" t="n">
        <x:v>2026</x:v>
      </x:c>
      <x:c r="I302" s="14" t="n">
        <x:v>1</x:v>
      </x:c>
    </x:row>
    <x:row r="303">
      <x:c r="A303" s="14" t="n">
        <x:v>20261029</x:v>
      </x:c>
      <x:c r="B303" s="20" t="str">
        <x:v>2026-10-29</x:v>
      </x:c>
      <x:c r="C303" s="14" t="str">
        <x:v>Thursday</x:v>
      </x:c>
      <x:c r="D303" s="14" t="n">
        <x:v>44</x:v>
      </x:c>
      <x:c r="E303" s="14" t="str">
        <x:v>October</x:v>
      </x:c>
      <x:c r="F303" s="14" t="n">
        <x:v>10</x:v>
      </x:c>
      <x:c r="G303" s="14" t="str">
        <x:v>Q4</x:v>
      </x:c>
      <x:c r="H303" s="14" t="n">
        <x:v>2026</x:v>
      </x:c>
      <x:c r="I303" s="14" t="n">
        <x:v>1</x:v>
      </x:c>
    </x:row>
    <x:row r="304">
      <x:c r="A304" s="14" t="n">
        <x:v>20261030</x:v>
      </x:c>
      <x:c r="B304" s="20" t="str">
        <x:v>2026-10-30</x:v>
      </x:c>
      <x:c r="C304" s="14" t="str">
        <x:v>Friday</x:v>
      </x:c>
      <x:c r="D304" s="14" t="n">
        <x:v>44</x:v>
      </x:c>
      <x:c r="E304" s="14" t="str">
        <x:v>October</x:v>
      </x:c>
      <x:c r="F304" s="14" t="n">
        <x:v>10</x:v>
      </x:c>
      <x:c r="G304" s="14" t="str">
        <x:v>Q4</x:v>
      </x:c>
      <x:c r="H304" s="14" t="n">
        <x:v>2026</x:v>
      </x:c>
      <x:c r="I304" s="14" t="n">
        <x:v>1</x:v>
      </x:c>
    </x:row>
    <x:row r="305">
      <x:c r="A305" s="14" t="n">
        <x:v>20261031</x:v>
      </x:c>
      <x:c r="B305" s="20" t="str">
        <x:v>2026-10-31</x:v>
      </x:c>
      <x:c r="C305" s="14" t="str">
        <x:v>Saturday</x:v>
      </x:c>
      <x:c r="D305" s="14" t="n">
        <x:v>44</x:v>
      </x:c>
      <x:c r="E305" s="14" t="str">
        <x:v>October</x:v>
      </x:c>
      <x:c r="F305" s="14" t="n">
        <x:v>10</x:v>
      </x:c>
      <x:c r="G305" s="14" t="str">
        <x:v>Q4</x:v>
      </x:c>
      <x:c r="H305" s="14" t="n">
        <x:v>2026</x:v>
      </x:c>
      <x:c r="I305" s="14" t="n">
        <x:v>0</x:v>
      </x:c>
    </x:row>
    <x:row r="306">
      <x:c r="A306" s="14" t="n">
        <x:v>20261101</x:v>
      </x:c>
      <x:c r="B306" s="20" t="str">
        <x:v>2026-11-01</x:v>
      </x:c>
      <x:c r="C306" s="14" t="str">
        <x:v>Sunday</x:v>
      </x:c>
      <x:c r="D306" s="14" t="n">
        <x:v>44</x:v>
      </x:c>
      <x:c r="E306" s="14" t="str">
        <x:v>November</x:v>
      </x:c>
      <x:c r="F306" s="14" t="n">
        <x:v>11</x:v>
      </x:c>
      <x:c r="G306" s="14" t="str">
        <x:v>Q4</x:v>
      </x:c>
      <x:c r="H306" s="14" t="n">
        <x:v>2026</x:v>
      </x:c>
      <x:c r="I306" s="14" t="n">
        <x:v>0</x:v>
      </x:c>
    </x:row>
    <x:row r="307">
      <x:c r="A307" s="14" t="n">
        <x:v>20261102</x:v>
      </x:c>
      <x:c r="B307" s="20" t="str">
        <x:v>2026-11-02</x:v>
      </x:c>
      <x:c r="C307" s="14" t="str">
        <x:v>Monday</x:v>
      </x:c>
      <x:c r="D307" s="14" t="n">
        <x:v>45</x:v>
      </x:c>
      <x:c r="E307" s="14" t="str">
        <x:v>November</x:v>
      </x:c>
      <x:c r="F307" s="14" t="n">
        <x:v>11</x:v>
      </x:c>
      <x:c r="G307" s="14" t="str">
        <x:v>Q4</x:v>
      </x:c>
      <x:c r="H307" s="14" t="n">
        <x:v>2026</x:v>
      </x:c>
      <x:c r="I307" s="14" t="n">
        <x:v>1</x:v>
      </x:c>
    </x:row>
    <x:row r="308">
      <x:c r="A308" s="14" t="n">
        <x:v>20261103</x:v>
      </x:c>
      <x:c r="B308" s="20" t="str">
        <x:v>2026-11-03</x:v>
      </x:c>
      <x:c r="C308" s="14" t="str">
        <x:v>Tuesday</x:v>
      </x:c>
      <x:c r="D308" s="14" t="n">
        <x:v>45</x:v>
      </x:c>
      <x:c r="E308" s="14" t="str">
        <x:v>November</x:v>
      </x:c>
      <x:c r="F308" s="14" t="n">
        <x:v>11</x:v>
      </x:c>
      <x:c r="G308" s="14" t="str">
        <x:v>Q4</x:v>
      </x:c>
      <x:c r="H308" s="14" t="n">
        <x:v>2026</x:v>
      </x:c>
      <x:c r="I308" s="14" t="n">
        <x:v>1</x:v>
      </x:c>
    </x:row>
    <x:row r="309">
      <x:c r="A309" s="14" t="n">
        <x:v>20261104</x:v>
      </x:c>
      <x:c r="B309" s="20" t="str">
        <x:v>2026-11-04</x:v>
      </x:c>
      <x:c r="C309" s="14" t="str">
        <x:v>Wednesday</x:v>
      </x:c>
      <x:c r="D309" s="14" t="n">
        <x:v>45</x:v>
      </x:c>
      <x:c r="E309" s="14" t="str">
        <x:v>November</x:v>
      </x:c>
      <x:c r="F309" s="14" t="n">
        <x:v>11</x:v>
      </x:c>
      <x:c r="G309" s="14" t="str">
        <x:v>Q4</x:v>
      </x:c>
      <x:c r="H309" s="14" t="n">
        <x:v>2026</x:v>
      </x:c>
      <x:c r="I309" s="14" t="n">
        <x:v>1</x:v>
      </x:c>
    </x:row>
    <x:row r="310">
      <x:c r="A310" s="14" t="n">
        <x:v>20261105</x:v>
      </x:c>
      <x:c r="B310" s="20" t="str">
        <x:v>2026-11-05</x:v>
      </x:c>
      <x:c r="C310" s="14" t="str">
        <x:v>Thursday</x:v>
      </x:c>
      <x:c r="D310" s="14" t="n">
        <x:v>45</x:v>
      </x:c>
      <x:c r="E310" s="14" t="str">
        <x:v>November</x:v>
      </x:c>
      <x:c r="F310" s="14" t="n">
        <x:v>11</x:v>
      </x:c>
      <x:c r="G310" s="14" t="str">
        <x:v>Q4</x:v>
      </x:c>
      <x:c r="H310" s="14" t="n">
        <x:v>2026</x:v>
      </x:c>
      <x:c r="I310" s="14" t="n">
        <x:v>1</x:v>
      </x:c>
    </x:row>
    <x:row r="311">
      <x:c r="A311" s="14" t="n">
        <x:v>20261106</x:v>
      </x:c>
      <x:c r="B311" s="20" t="str">
        <x:v>2026-11-06</x:v>
      </x:c>
      <x:c r="C311" s="14" t="str">
        <x:v>Friday</x:v>
      </x:c>
      <x:c r="D311" s="14" t="n">
        <x:v>45</x:v>
      </x:c>
      <x:c r="E311" s="14" t="str">
        <x:v>November</x:v>
      </x:c>
      <x:c r="F311" s="14" t="n">
        <x:v>11</x:v>
      </x:c>
      <x:c r="G311" s="14" t="str">
        <x:v>Q4</x:v>
      </x:c>
      <x:c r="H311" s="14" t="n">
        <x:v>2026</x:v>
      </x:c>
      <x:c r="I311" s="14" t="n">
        <x:v>1</x:v>
      </x:c>
    </x:row>
    <x:row r="312">
      <x:c r="A312" s="14" t="n">
        <x:v>20261107</x:v>
      </x:c>
      <x:c r="B312" s="20" t="str">
        <x:v>2026-11-07</x:v>
      </x:c>
      <x:c r="C312" s="14" t="str">
        <x:v>Saturday</x:v>
      </x:c>
      <x:c r="D312" s="14" t="n">
        <x:v>45</x:v>
      </x:c>
      <x:c r="E312" s="14" t="str">
        <x:v>November</x:v>
      </x:c>
      <x:c r="F312" s="14" t="n">
        <x:v>11</x:v>
      </x:c>
      <x:c r="G312" s="14" t="str">
        <x:v>Q4</x:v>
      </x:c>
      <x:c r="H312" s="14" t="n">
        <x:v>2026</x:v>
      </x:c>
      <x:c r="I312" s="14" t="n">
        <x:v>0</x:v>
      </x:c>
    </x:row>
    <x:row r="313">
      <x:c r="A313" s="14" t="n">
        <x:v>20261108</x:v>
      </x:c>
      <x:c r="B313" s="20" t="str">
        <x:v>2026-11-08</x:v>
      </x:c>
      <x:c r="C313" s="14" t="str">
        <x:v>Sunday</x:v>
      </x:c>
      <x:c r="D313" s="14" t="n">
        <x:v>45</x:v>
      </x:c>
      <x:c r="E313" s="14" t="str">
        <x:v>November</x:v>
      </x:c>
      <x:c r="F313" s="14" t="n">
        <x:v>11</x:v>
      </x:c>
      <x:c r="G313" s="14" t="str">
        <x:v>Q4</x:v>
      </x:c>
      <x:c r="H313" s="14" t="n">
        <x:v>2026</x:v>
      </x:c>
      <x:c r="I313" s="14" t="n">
        <x:v>0</x:v>
      </x:c>
    </x:row>
    <x:row r="314">
      <x:c r="A314" s="14" t="n">
        <x:v>20261109</x:v>
      </x:c>
      <x:c r="B314" s="20" t="str">
        <x:v>2026-11-09</x:v>
      </x:c>
      <x:c r="C314" s="14" t="str">
        <x:v>Monday</x:v>
      </x:c>
      <x:c r="D314" s="14" t="n">
        <x:v>46</x:v>
      </x:c>
      <x:c r="E314" s="14" t="str">
        <x:v>November</x:v>
      </x:c>
      <x:c r="F314" s="14" t="n">
        <x:v>11</x:v>
      </x:c>
      <x:c r="G314" s="14" t="str">
        <x:v>Q4</x:v>
      </x:c>
      <x:c r="H314" s="14" t="n">
        <x:v>2026</x:v>
      </x:c>
      <x:c r="I314" s="14" t="n">
        <x:v>1</x:v>
      </x:c>
    </x:row>
    <x:row r="315">
      <x:c r="A315" s="14" t="n">
        <x:v>20261110</x:v>
      </x:c>
      <x:c r="B315" s="20" t="str">
        <x:v>2026-11-10</x:v>
      </x:c>
      <x:c r="C315" s="14" t="str">
        <x:v>Tuesday</x:v>
      </x:c>
      <x:c r="D315" s="14" t="n">
        <x:v>46</x:v>
      </x:c>
      <x:c r="E315" s="14" t="str">
        <x:v>November</x:v>
      </x:c>
      <x:c r="F315" s="14" t="n">
        <x:v>11</x:v>
      </x:c>
      <x:c r="G315" s="14" t="str">
        <x:v>Q4</x:v>
      </x:c>
      <x:c r="H315" s="14" t="n">
        <x:v>2026</x:v>
      </x:c>
      <x:c r="I315" s="14" t="n">
        <x:v>1</x:v>
      </x:c>
    </x:row>
    <x:row r="316">
      <x:c r="A316" s="14" t="n">
        <x:v>20261111</x:v>
      </x:c>
      <x:c r="B316" s="20" t="str">
        <x:v>2026-11-11</x:v>
      </x:c>
      <x:c r="C316" s="14" t="str">
        <x:v>Wednesday</x:v>
      </x:c>
      <x:c r="D316" s="14" t="n">
        <x:v>46</x:v>
      </x:c>
      <x:c r="E316" s="14" t="str">
        <x:v>November</x:v>
      </x:c>
      <x:c r="F316" s="14" t="n">
        <x:v>11</x:v>
      </x:c>
      <x:c r="G316" s="14" t="str">
        <x:v>Q4</x:v>
      </x:c>
      <x:c r="H316" s="14" t="n">
        <x:v>2026</x:v>
      </x:c>
      <x:c r="I316" s="14" t="n">
        <x:v>1</x:v>
      </x:c>
    </x:row>
    <x:row r="317">
      <x:c r="A317" s="14" t="n">
        <x:v>20261112</x:v>
      </x:c>
      <x:c r="B317" s="20" t="str">
        <x:v>2026-11-12</x:v>
      </x:c>
      <x:c r="C317" s="14" t="str">
        <x:v>Thursday</x:v>
      </x:c>
      <x:c r="D317" s="14" t="n">
        <x:v>46</x:v>
      </x:c>
      <x:c r="E317" s="14" t="str">
        <x:v>November</x:v>
      </x:c>
      <x:c r="F317" s="14" t="n">
        <x:v>11</x:v>
      </x:c>
      <x:c r="G317" s="14" t="str">
        <x:v>Q4</x:v>
      </x:c>
      <x:c r="H317" s="14" t="n">
        <x:v>2026</x:v>
      </x:c>
      <x:c r="I317" s="14" t="n">
        <x:v>1</x:v>
      </x:c>
    </x:row>
    <x:row r="318">
      <x:c r="A318" s="14" t="n">
        <x:v>20261113</x:v>
      </x:c>
      <x:c r="B318" s="20" t="str">
        <x:v>2026-11-13</x:v>
      </x:c>
      <x:c r="C318" s="14" t="str">
        <x:v>Friday</x:v>
      </x:c>
      <x:c r="D318" s="14" t="n">
        <x:v>46</x:v>
      </x:c>
      <x:c r="E318" s="14" t="str">
        <x:v>November</x:v>
      </x:c>
      <x:c r="F318" s="14" t="n">
        <x:v>11</x:v>
      </x:c>
      <x:c r="G318" s="14" t="str">
        <x:v>Q4</x:v>
      </x:c>
      <x:c r="H318" s="14" t="n">
        <x:v>2026</x:v>
      </x:c>
      <x:c r="I318" s="14" t="n">
        <x:v>1</x:v>
      </x:c>
    </x:row>
    <x:row r="319">
      <x:c r="A319" s="14" t="n">
        <x:v>20261114</x:v>
      </x:c>
      <x:c r="B319" s="20" t="str">
        <x:v>2026-11-14</x:v>
      </x:c>
      <x:c r="C319" s="14" t="str">
        <x:v>Saturday</x:v>
      </x:c>
      <x:c r="D319" s="14" t="n">
        <x:v>46</x:v>
      </x:c>
      <x:c r="E319" s="14" t="str">
        <x:v>November</x:v>
      </x:c>
      <x:c r="F319" s="14" t="n">
        <x:v>11</x:v>
      </x:c>
      <x:c r="G319" s="14" t="str">
        <x:v>Q4</x:v>
      </x:c>
      <x:c r="H319" s="14" t="n">
        <x:v>2026</x:v>
      </x:c>
      <x:c r="I319" s="14" t="n">
        <x:v>0</x:v>
      </x:c>
    </x:row>
    <x:row r="320">
      <x:c r="A320" s="14" t="n">
        <x:v>20261115</x:v>
      </x:c>
      <x:c r="B320" s="20" t="str">
        <x:v>2026-11-15</x:v>
      </x:c>
      <x:c r="C320" s="14" t="str">
        <x:v>Sunday</x:v>
      </x:c>
      <x:c r="D320" s="14" t="n">
        <x:v>46</x:v>
      </x:c>
      <x:c r="E320" s="14" t="str">
        <x:v>November</x:v>
      </x:c>
      <x:c r="F320" s="14" t="n">
        <x:v>11</x:v>
      </x:c>
      <x:c r="G320" s="14" t="str">
        <x:v>Q4</x:v>
      </x:c>
      <x:c r="H320" s="14" t="n">
        <x:v>2026</x:v>
      </x:c>
      <x:c r="I320" s="14" t="n">
        <x:v>0</x:v>
      </x:c>
    </x:row>
    <x:row r="321">
      <x:c r="A321" s="14" t="n">
        <x:v>20261116</x:v>
      </x:c>
      <x:c r="B321" s="20" t="str">
        <x:v>2026-11-16</x:v>
      </x:c>
      <x:c r="C321" s="14" t="str">
        <x:v>Monday</x:v>
      </x:c>
      <x:c r="D321" s="14" t="n">
        <x:v>47</x:v>
      </x:c>
      <x:c r="E321" s="14" t="str">
        <x:v>November</x:v>
      </x:c>
      <x:c r="F321" s="14" t="n">
        <x:v>11</x:v>
      </x:c>
      <x:c r="G321" s="14" t="str">
        <x:v>Q4</x:v>
      </x:c>
      <x:c r="H321" s="14" t="n">
        <x:v>2026</x:v>
      </x:c>
      <x:c r="I321" s="14" t="n">
        <x:v>1</x:v>
      </x:c>
    </x:row>
    <x:row r="322">
      <x:c r="A322" s="14" t="n">
        <x:v>20261117</x:v>
      </x:c>
      <x:c r="B322" s="20" t="str">
        <x:v>2026-11-17</x:v>
      </x:c>
      <x:c r="C322" s="14" t="str">
        <x:v>Tuesday</x:v>
      </x:c>
      <x:c r="D322" s="14" t="n">
        <x:v>47</x:v>
      </x:c>
      <x:c r="E322" s="14" t="str">
        <x:v>November</x:v>
      </x:c>
      <x:c r="F322" s="14" t="n">
        <x:v>11</x:v>
      </x:c>
      <x:c r="G322" s="14" t="str">
        <x:v>Q4</x:v>
      </x:c>
      <x:c r="H322" s="14" t="n">
        <x:v>2026</x:v>
      </x:c>
      <x:c r="I322" s="14" t="n">
        <x:v>1</x:v>
      </x:c>
    </x:row>
    <x:row r="323">
      <x:c r="A323" s="14" t="n">
        <x:v>20261118</x:v>
      </x:c>
      <x:c r="B323" s="20" t="str">
        <x:v>2026-11-18</x:v>
      </x:c>
      <x:c r="C323" s="14" t="str">
        <x:v>Wednesday</x:v>
      </x:c>
      <x:c r="D323" s="14" t="n">
        <x:v>47</x:v>
      </x:c>
      <x:c r="E323" s="14" t="str">
        <x:v>November</x:v>
      </x:c>
      <x:c r="F323" s="14" t="n">
        <x:v>11</x:v>
      </x:c>
      <x:c r="G323" s="14" t="str">
        <x:v>Q4</x:v>
      </x:c>
      <x:c r="H323" s="14" t="n">
        <x:v>2026</x:v>
      </x:c>
      <x:c r="I323" s="14" t="n">
        <x:v>1</x:v>
      </x:c>
    </x:row>
    <x:row r="324">
      <x:c r="A324" s="14" t="n">
        <x:v>20261119</x:v>
      </x:c>
      <x:c r="B324" s="20" t="str">
        <x:v>2026-11-19</x:v>
      </x:c>
      <x:c r="C324" s="14" t="str">
        <x:v>Thursday</x:v>
      </x:c>
      <x:c r="D324" s="14" t="n">
        <x:v>47</x:v>
      </x:c>
      <x:c r="E324" s="14" t="str">
        <x:v>November</x:v>
      </x:c>
      <x:c r="F324" s="14" t="n">
        <x:v>11</x:v>
      </x:c>
      <x:c r="G324" s="14" t="str">
        <x:v>Q4</x:v>
      </x:c>
      <x:c r="H324" s="14" t="n">
        <x:v>2026</x:v>
      </x:c>
      <x:c r="I324" s="14" t="n">
        <x:v>1</x:v>
      </x:c>
    </x:row>
    <x:row r="325">
      <x:c r="A325" s="14" t="n">
        <x:v>20261120</x:v>
      </x:c>
      <x:c r="B325" s="20" t="str">
        <x:v>2026-11-20</x:v>
      </x:c>
      <x:c r="C325" s="14" t="str">
        <x:v>Friday</x:v>
      </x:c>
      <x:c r="D325" s="14" t="n">
        <x:v>47</x:v>
      </x:c>
      <x:c r="E325" s="14" t="str">
        <x:v>November</x:v>
      </x:c>
      <x:c r="F325" s="14" t="n">
        <x:v>11</x:v>
      </x:c>
      <x:c r="G325" s="14" t="str">
        <x:v>Q4</x:v>
      </x:c>
      <x:c r="H325" s="14" t="n">
        <x:v>2026</x:v>
      </x:c>
      <x:c r="I325" s="14" t="n">
        <x:v>1</x:v>
      </x:c>
    </x:row>
    <x:row r="326">
      <x:c r="A326" s="14" t="n">
        <x:v>20261121</x:v>
      </x:c>
      <x:c r="B326" s="20" t="str">
        <x:v>2026-11-21</x:v>
      </x:c>
      <x:c r="C326" s="14" t="str">
        <x:v>Saturday</x:v>
      </x:c>
      <x:c r="D326" s="14" t="n">
        <x:v>47</x:v>
      </x:c>
      <x:c r="E326" s="14" t="str">
        <x:v>November</x:v>
      </x:c>
      <x:c r="F326" s="14" t="n">
        <x:v>11</x:v>
      </x:c>
      <x:c r="G326" s="14" t="str">
        <x:v>Q4</x:v>
      </x:c>
      <x:c r="H326" s="14" t="n">
        <x:v>2026</x:v>
      </x:c>
      <x:c r="I326" s="14" t="n">
        <x:v>0</x:v>
      </x:c>
    </x:row>
    <x:row r="327">
      <x:c r="A327" s="14" t="n">
        <x:v>20261122</x:v>
      </x:c>
      <x:c r="B327" s="20" t="str">
        <x:v>2026-11-22</x:v>
      </x:c>
      <x:c r="C327" s="14" t="str">
        <x:v>Sunday</x:v>
      </x:c>
      <x:c r="D327" s="14" t="n">
        <x:v>47</x:v>
      </x:c>
      <x:c r="E327" s="14" t="str">
        <x:v>November</x:v>
      </x:c>
      <x:c r="F327" s="14" t="n">
        <x:v>11</x:v>
      </x:c>
      <x:c r="G327" s="14" t="str">
        <x:v>Q4</x:v>
      </x:c>
      <x:c r="H327" s="14" t="n">
        <x:v>2026</x:v>
      </x:c>
      <x:c r="I327" s="14" t="n">
        <x:v>0</x:v>
      </x:c>
    </x:row>
    <x:row r="328">
      <x:c r="A328" s="14" t="n">
        <x:v>20261123</x:v>
      </x:c>
      <x:c r="B328" s="20" t="str">
        <x:v>2026-11-23</x:v>
      </x:c>
      <x:c r="C328" s="14" t="str">
        <x:v>Monday</x:v>
      </x:c>
      <x:c r="D328" s="14" t="n">
        <x:v>48</x:v>
      </x:c>
      <x:c r="E328" s="14" t="str">
        <x:v>November</x:v>
      </x:c>
      <x:c r="F328" s="14" t="n">
        <x:v>11</x:v>
      </x:c>
      <x:c r="G328" s="14" t="str">
        <x:v>Q4</x:v>
      </x:c>
      <x:c r="H328" s="14" t="n">
        <x:v>2026</x:v>
      </x:c>
      <x:c r="I328" s="14" t="n">
        <x:v>1</x:v>
      </x:c>
    </x:row>
    <x:row r="329">
      <x:c r="A329" s="14" t="n">
        <x:v>20261124</x:v>
      </x:c>
      <x:c r="B329" s="20" t="str">
        <x:v>2026-11-24</x:v>
      </x:c>
      <x:c r="C329" s="14" t="str">
        <x:v>Tuesday</x:v>
      </x:c>
      <x:c r="D329" s="14" t="n">
        <x:v>48</x:v>
      </x:c>
      <x:c r="E329" s="14" t="str">
        <x:v>November</x:v>
      </x:c>
      <x:c r="F329" s="14" t="n">
        <x:v>11</x:v>
      </x:c>
      <x:c r="G329" s="14" t="str">
        <x:v>Q4</x:v>
      </x:c>
      <x:c r="H329" s="14" t="n">
        <x:v>2026</x:v>
      </x:c>
      <x:c r="I329" s="14" t="n">
        <x:v>1</x:v>
      </x:c>
    </x:row>
    <x:row r="330">
      <x:c r="A330" s="14" t="n">
        <x:v>20261125</x:v>
      </x:c>
      <x:c r="B330" s="20" t="str">
        <x:v>2026-11-25</x:v>
      </x:c>
      <x:c r="C330" s="14" t="str">
        <x:v>Wednesday</x:v>
      </x:c>
      <x:c r="D330" s="14" t="n">
        <x:v>48</x:v>
      </x:c>
      <x:c r="E330" s="14" t="str">
        <x:v>November</x:v>
      </x:c>
      <x:c r="F330" s="14" t="n">
        <x:v>11</x:v>
      </x:c>
      <x:c r="G330" s="14" t="str">
        <x:v>Q4</x:v>
      </x:c>
      <x:c r="H330" s="14" t="n">
        <x:v>2026</x:v>
      </x:c>
      <x:c r="I330" s="14" t="n">
        <x:v>1</x:v>
      </x:c>
    </x:row>
    <x:row r="331">
      <x:c r="A331" s="14" t="n">
        <x:v>20261126</x:v>
      </x:c>
      <x:c r="B331" s="20" t="str">
        <x:v>2026-11-26</x:v>
      </x:c>
      <x:c r="C331" s="14" t="str">
        <x:v>Thursday</x:v>
      </x:c>
      <x:c r="D331" s="14" t="n">
        <x:v>48</x:v>
      </x:c>
      <x:c r="E331" s="14" t="str">
        <x:v>November</x:v>
      </x:c>
      <x:c r="F331" s="14" t="n">
        <x:v>11</x:v>
      </x:c>
      <x:c r="G331" s="14" t="str">
        <x:v>Q4</x:v>
      </x:c>
      <x:c r="H331" s="14" t="n">
        <x:v>2026</x:v>
      </x:c>
      <x:c r="I331" s="14" t="n">
        <x:v>1</x:v>
      </x:c>
    </x:row>
    <x:row r="332">
      <x:c r="A332" s="14" t="n">
        <x:v>20261127</x:v>
      </x:c>
      <x:c r="B332" s="20" t="str">
        <x:v>2026-11-27</x:v>
      </x:c>
      <x:c r="C332" s="14" t="str">
        <x:v>Friday</x:v>
      </x:c>
      <x:c r="D332" s="14" t="n">
        <x:v>48</x:v>
      </x:c>
      <x:c r="E332" s="14" t="str">
        <x:v>November</x:v>
      </x:c>
      <x:c r="F332" s="14" t="n">
        <x:v>11</x:v>
      </x:c>
      <x:c r="G332" s="14" t="str">
        <x:v>Q4</x:v>
      </x:c>
      <x:c r="H332" s="14" t="n">
        <x:v>2026</x:v>
      </x:c>
      <x:c r="I332" s="14" t="n">
        <x:v>1</x:v>
      </x:c>
    </x:row>
    <x:row r="333">
      <x:c r="A333" s="14" t="n">
        <x:v>20261128</x:v>
      </x:c>
      <x:c r="B333" s="20" t="str">
        <x:v>2026-11-28</x:v>
      </x:c>
      <x:c r="C333" s="14" t="str">
        <x:v>Saturday</x:v>
      </x:c>
      <x:c r="D333" s="14" t="n">
        <x:v>48</x:v>
      </x:c>
      <x:c r="E333" s="14" t="str">
        <x:v>November</x:v>
      </x:c>
      <x:c r="F333" s="14" t="n">
        <x:v>11</x:v>
      </x:c>
      <x:c r="G333" s="14" t="str">
        <x:v>Q4</x:v>
      </x:c>
      <x:c r="H333" s="14" t="n">
        <x:v>2026</x:v>
      </x:c>
      <x:c r="I333" s="14" t="n">
        <x:v>0</x:v>
      </x:c>
    </x:row>
    <x:row r="334">
      <x:c r="A334" s="14" t="n">
        <x:v>20261129</x:v>
      </x:c>
      <x:c r="B334" s="20" t="str">
        <x:v>2026-11-29</x:v>
      </x:c>
      <x:c r="C334" s="14" t="str">
        <x:v>Sunday</x:v>
      </x:c>
      <x:c r="D334" s="14" t="n">
        <x:v>48</x:v>
      </x:c>
      <x:c r="E334" s="14" t="str">
        <x:v>November</x:v>
      </x:c>
      <x:c r="F334" s="14" t="n">
        <x:v>11</x:v>
      </x:c>
      <x:c r="G334" s="14" t="str">
        <x:v>Q4</x:v>
      </x:c>
      <x:c r="H334" s="14" t="n">
        <x:v>2026</x:v>
      </x:c>
      <x:c r="I334" s="14" t="n">
        <x:v>0</x:v>
      </x:c>
    </x:row>
    <x:row r="335">
      <x:c r="A335" s="14" t="n">
        <x:v>20261130</x:v>
      </x:c>
      <x:c r="B335" s="20" t="str">
        <x:v>2026-11-30</x:v>
      </x:c>
      <x:c r="C335" s="14" t="str">
        <x:v>Monday</x:v>
      </x:c>
      <x:c r="D335" s="14" t="n">
        <x:v>49</x:v>
      </x:c>
      <x:c r="E335" s="14" t="str">
        <x:v>November</x:v>
      </x:c>
      <x:c r="F335" s="14" t="n">
        <x:v>11</x:v>
      </x:c>
      <x:c r="G335" s="14" t="str">
        <x:v>Q4</x:v>
      </x:c>
      <x:c r="H335" s="14" t="n">
        <x:v>2026</x:v>
      </x:c>
      <x:c r="I335" s="14" t="n">
        <x:v>1</x:v>
      </x:c>
    </x:row>
    <x:row r="336">
      <x:c r="A336" s="14" t="n">
        <x:v>20261201</x:v>
      </x:c>
      <x:c r="B336" s="20" t="str">
        <x:v>2026-12-01</x:v>
      </x:c>
      <x:c r="C336" s="14" t="str">
        <x:v>Tuesday</x:v>
      </x:c>
      <x:c r="D336" s="14" t="n">
        <x:v>49</x:v>
      </x:c>
      <x:c r="E336" s="14" t="str">
        <x:v>December</x:v>
      </x:c>
      <x:c r="F336" s="14" t="n">
        <x:v>12</x:v>
      </x:c>
      <x:c r="G336" s="14" t="str">
        <x:v>Q4</x:v>
      </x:c>
      <x:c r="H336" s="14" t="n">
        <x:v>2026</x:v>
      </x:c>
      <x:c r="I336" s="14" t="n">
        <x:v>1</x:v>
      </x:c>
    </x:row>
    <x:row r="337">
      <x:c r="A337" s="14" t="n">
        <x:v>20261202</x:v>
      </x:c>
      <x:c r="B337" s="20" t="str">
        <x:v>2026-12-02</x:v>
      </x:c>
      <x:c r="C337" s="14" t="str">
        <x:v>Wednesday</x:v>
      </x:c>
      <x:c r="D337" s="14" t="n">
        <x:v>49</x:v>
      </x:c>
      <x:c r="E337" s="14" t="str">
        <x:v>December</x:v>
      </x:c>
      <x:c r="F337" s="14" t="n">
        <x:v>12</x:v>
      </x:c>
      <x:c r="G337" s="14" t="str">
        <x:v>Q4</x:v>
      </x:c>
      <x:c r="H337" s="14" t="n">
        <x:v>2026</x:v>
      </x:c>
      <x:c r="I337" s="14" t="n">
        <x:v>1</x:v>
      </x:c>
    </x:row>
    <x:row r="338">
      <x:c r="A338" s="14" t="n">
        <x:v>20261203</x:v>
      </x:c>
      <x:c r="B338" s="20" t="str">
        <x:v>2026-12-03</x:v>
      </x:c>
      <x:c r="C338" s="14" t="str">
        <x:v>Thursday</x:v>
      </x:c>
      <x:c r="D338" s="14" t="n">
        <x:v>49</x:v>
      </x:c>
      <x:c r="E338" s="14" t="str">
        <x:v>December</x:v>
      </x:c>
      <x:c r="F338" s="14" t="n">
        <x:v>12</x:v>
      </x:c>
      <x:c r="G338" s="14" t="str">
        <x:v>Q4</x:v>
      </x:c>
      <x:c r="H338" s="14" t="n">
        <x:v>2026</x:v>
      </x:c>
      <x:c r="I338" s="14" t="n">
        <x:v>1</x:v>
      </x:c>
    </x:row>
    <x:row r="339">
      <x:c r="A339" s="14" t="n">
        <x:v>20261204</x:v>
      </x:c>
      <x:c r="B339" s="20" t="str">
        <x:v>2026-12-04</x:v>
      </x:c>
      <x:c r="C339" s="14" t="str">
        <x:v>Friday</x:v>
      </x:c>
      <x:c r="D339" s="14" t="n">
        <x:v>49</x:v>
      </x:c>
      <x:c r="E339" s="14" t="str">
        <x:v>December</x:v>
      </x:c>
      <x:c r="F339" s="14" t="n">
        <x:v>12</x:v>
      </x:c>
      <x:c r="G339" s="14" t="str">
        <x:v>Q4</x:v>
      </x:c>
      <x:c r="H339" s="14" t="n">
        <x:v>2026</x:v>
      </x:c>
      <x:c r="I339" s="14" t="n">
        <x:v>1</x:v>
      </x:c>
    </x:row>
    <x:row r="340">
      <x:c r="A340" s="14" t="n">
        <x:v>20261205</x:v>
      </x:c>
      <x:c r="B340" s="20" t="str">
        <x:v>2026-12-05</x:v>
      </x:c>
      <x:c r="C340" s="14" t="str">
        <x:v>Saturday</x:v>
      </x:c>
      <x:c r="D340" s="14" t="n">
        <x:v>49</x:v>
      </x:c>
      <x:c r="E340" s="14" t="str">
        <x:v>December</x:v>
      </x:c>
      <x:c r="F340" s="14" t="n">
        <x:v>12</x:v>
      </x:c>
      <x:c r="G340" s="14" t="str">
        <x:v>Q4</x:v>
      </x:c>
      <x:c r="H340" s="14" t="n">
        <x:v>2026</x:v>
      </x:c>
      <x:c r="I340" s="14" t="n">
        <x:v>0</x:v>
      </x:c>
    </x:row>
    <x:row r="341">
      <x:c r="A341" s="14" t="n">
        <x:v>20261206</x:v>
      </x:c>
      <x:c r="B341" s="20" t="str">
        <x:v>2026-12-06</x:v>
      </x:c>
      <x:c r="C341" s="14" t="str">
        <x:v>Sunday</x:v>
      </x:c>
      <x:c r="D341" s="14" t="n">
        <x:v>49</x:v>
      </x:c>
      <x:c r="E341" s="14" t="str">
        <x:v>December</x:v>
      </x:c>
      <x:c r="F341" s="14" t="n">
        <x:v>12</x:v>
      </x:c>
      <x:c r="G341" s="14" t="str">
        <x:v>Q4</x:v>
      </x:c>
      <x:c r="H341" s="14" t="n">
        <x:v>2026</x:v>
      </x:c>
      <x:c r="I341" s="14" t="n">
        <x:v>0</x:v>
      </x:c>
    </x:row>
    <x:row r="342">
      <x:c r="A342" s="14" t="n">
        <x:v>20261207</x:v>
      </x:c>
      <x:c r="B342" s="20" t="str">
        <x:v>2026-12-07</x:v>
      </x:c>
      <x:c r="C342" s="14" t="str">
        <x:v>Monday</x:v>
      </x:c>
      <x:c r="D342" s="14" t="n">
        <x:v>50</x:v>
      </x:c>
      <x:c r="E342" s="14" t="str">
        <x:v>December</x:v>
      </x:c>
      <x:c r="F342" s="14" t="n">
        <x:v>12</x:v>
      </x:c>
      <x:c r="G342" s="14" t="str">
        <x:v>Q4</x:v>
      </x:c>
      <x:c r="H342" s="14" t="n">
        <x:v>2026</x:v>
      </x:c>
      <x:c r="I342" s="14" t="n">
        <x:v>1</x:v>
      </x:c>
    </x:row>
    <x:row r="343">
      <x:c r="A343" s="14" t="n">
        <x:v>20261208</x:v>
      </x:c>
      <x:c r="B343" s="20" t="str">
        <x:v>2026-12-08</x:v>
      </x:c>
      <x:c r="C343" s="14" t="str">
        <x:v>Tuesday</x:v>
      </x:c>
      <x:c r="D343" s="14" t="n">
        <x:v>50</x:v>
      </x:c>
      <x:c r="E343" s="14" t="str">
        <x:v>December</x:v>
      </x:c>
      <x:c r="F343" s="14" t="n">
        <x:v>12</x:v>
      </x:c>
      <x:c r="G343" s="14" t="str">
        <x:v>Q4</x:v>
      </x:c>
      <x:c r="H343" s="14" t="n">
        <x:v>2026</x:v>
      </x:c>
      <x:c r="I343" s="14" t="n">
        <x:v>1</x:v>
      </x:c>
    </x:row>
    <x:row r="344">
      <x:c r="A344" s="14" t="n">
        <x:v>20261209</x:v>
      </x:c>
      <x:c r="B344" s="20" t="str">
        <x:v>2026-12-09</x:v>
      </x:c>
      <x:c r="C344" s="14" t="str">
        <x:v>Wednesday</x:v>
      </x:c>
      <x:c r="D344" s="14" t="n">
        <x:v>50</x:v>
      </x:c>
      <x:c r="E344" s="14" t="str">
        <x:v>December</x:v>
      </x:c>
      <x:c r="F344" s="14" t="n">
        <x:v>12</x:v>
      </x:c>
      <x:c r="G344" s="14" t="str">
        <x:v>Q4</x:v>
      </x:c>
      <x:c r="H344" s="14" t="n">
        <x:v>2026</x:v>
      </x:c>
      <x:c r="I344" s="14" t="n">
        <x:v>1</x:v>
      </x:c>
    </x:row>
    <x:row r="345">
      <x:c r="A345" s="14" t="n">
        <x:v>20261210</x:v>
      </x:c>
      <x:c r="B345" s="20" t="str">
        <x:v>2026-12-10</x:v>
      </x:c>
      <x:c r="C345" s="14" t="str">
        <x:v>Thursday</x:v>
      </x:c>
      <x:c r="D345" s="14" t="n">
        <x:v>50</x:v>
      </x:c>
      <x:c r="E345" s="14" t="str">
        <x:v>December</x:v>
      </x:c>
      <x:c r="F345" s="14" t="n">
        <x:v>12</x:v>
      </x:c>
      <x:c r="G345" s="14" t="str">
        <x:v>Q4</x:v>
      </x:c>
      <x:c r="H345" s="14" t="n">
        <x:v>2026</x:v>
      </x:c>
      <x:c r="I345" s="14" t="n">
        <x:v>1</x:v>
      </x:c>
    </x:row>
    <x:row r="346">
      <x:c r="A346" s="14" t="n">
        <x:v>20261211</x:v>
      </x:c>
      <x:c r="B346" s="20" t="str">
        <x:v>2026-12-11</x:v>
      </x:c>
      <x:c r="C346" s="14" t="str">
        <x:v>Friday</x:v>
      </x:c>
      <x:c r="D346" s="14" t="n">
        <x:v>50</x:v>
      </x:c>
      <x:c r="E346" s="14" t="str">
        <x:v>December</x:v>
      </x:c>
      <x:c r="F346" s="14" t="n">
        <x:v>12</x:v>
      </x:c>
      <x:c r="G346" s="14" t="str">
        <x:v>Q4</x:v>
      </x:c>
      <x:c r="H346" s="14" t="n">
        <x:v>2026</x:v>
      </x:c>
      <x:c r="I346" s="14" t="n">
        <x:v>1</x:v>
      </x:c>
    </x:row>
    <x:row r="347">
      <x:c r="A347" s="14" t="n">
        <x:v>20261212</x:v>
      </x:c>
      <x:c r="B347" s="20" t="str">
        <x:v>2026-12-12</x:v>
      </x:c>
      <x:c r="C347" s="14" t="str">
        <x:v>Saturday</x:v>
      </x:c>
      <x:c r="D347" s="14" t="n">
        <x:v>50</x:v>
      </x:c>
      <x:c r="E347" s="14" t="str">
        <x:v>December</x:v>
      </x:c>
      <x:c r="F347" s="14" t="n">
        <x:v>12</x:v>
      </x:c>
      <x:c r="G347" s="14" t="str">
        <x:v>Q4</x:v>
      </x:c>
      <x:c r="H347" s="14" t="n">
        <x:v>2026</x:v>
      </x:c>
      <x:c r="I347" s="14" t="n">
        <x:v>0</x:v>
      </x:c>
    </x:row>
    <x:row r="348">
      <x:c r="A348" s="14" t="n">
        <x:v>20261213</x:v>
      </x:c>
      <x:c r="B348" s="20" t="str">
        <x:v>2026-12-13</x:v>
      </x:c>
      <x:c r="C348" s="14" t="str">
        <x:v>Sunday</x:v>
      </x:c>
      <x:c r="D348" s="14" t="n">
        <x:v>50</x:v>
      </x:c>
      <x:c r="E348" s="14" t="str">
        <x:v>December</x:v>
      </x:c>
      <x:c r="F348" s="14" t="n">
        <x:v>12</x:v>
      </x:c>
      <x:c r="G348" s="14" t="str">
        <x:v>Q4</x:v>
      </x:c>
      <x:c r="H348" s="14" t="n">
        <x:v>2026</x:v>
      </x:c>
      <x:c r="I348" s="14" t="n">
        <x:v>0</x:v>
      </x:c>
    </x:row>
    <x:row r="349">
      <x:c r="A349" s="14" t="n">
        <x:v>20261214</x:v>
      </x:c>
      <x:c r="B349" s="20" t="str">
        <x:v>2026-12-14</x:v>
      </x:c>
      <x:c r="C349" s="14" t="str">
        <x:v>Monday</x:v>
      </x:c>
      <x:c r="D349" s="14" t="n">
        <x:v>51</x:v>
      </x:c>
      <x:c r="E349" s="14" t="str">
        <x:v>December</x:v>
      </x:c>
      <x:c r="F349" s="14" t="n">
        <x:v>12</x:v>
      </x:c>
      <x:c r="G349" s="14" t="str">
        <x:v>Q4</x:v>
      </x:c>
      <x:c r="H349" s="14" t="n">
        <x:v>2026</x:v>
      </x:c>
      <x:c r="I349" s="14" t="n">
        <x:v>1</x:v>
      </x:c>
    </x:row>
    <x:row r="350">
      <x:c r="A350" s="14" t="n">
        <x:v>20261215</x:v>
      </x:c>
      <x:c r="B350" s="20" t="str">
        <x:v>2026-12-15</x:v>
      </x:c>
      <x:c r="C350" s="14" t="str">
        <x:v>Tuesday</x:v>
      </x:c>
      <x:c r="D350" s="14" t="n">
        <x:v>51</x:v>
      </x:c>
      <x:c r="E350" s="14" t="str">
        <x:v>December</x:v>
      </x:c>
      <x:c r="F350" s="14" t="n">
        <x:v>12</x:v>
      </x:c>
      <x:c r="G350" s="14" t="str">
        <x:v>Q4</x:v>
      </x:c>
      <x:c r="H350" s="14" t="n">
        <x:v>2026</x:v>
      </x:c>
      <x:c r="I350" s="14" t="n">
        <x:v>1</x:v>
      </x:c>
    </x:row>
    <x:row r="351">
      <x:c r="A351" s="14" t="n">
        <x:v>20261216</x:v>
      </x:c>
      <x:c r="B351" s="20" t="str">
        <x:v>2026-12-16</x:v>
      </x:c>
      <x:c r="C351" s="14" t="str">
        <x:v>Wednesday</x:v>
      </x:c>
      <x:c r="D351" s="14" t="n">
        <x:v>51</x:v>
      </x:c>
      <x:c r="E351" s="14" t="str">
        <x:v>December</x:v>
      </x:c>
      <x:c r="F351" s="14" t="n">
        <x:v>12</x:v>
      </x:c>
      <x:c r="G351" s="14" t="str">
        <x:v>Q4</x:v>
      </x:c>
      <x:c r="H351" s="14" t="n">
        <x:v>2026</x:v>
      </x:c>
      <x:c r="I351" s="14" t="n">
        <x:v>1</x:v>
      </x:c>
    </x:row>
    <x:row r="352">
      <x:c r="A352" s="14" t="n">
        <x:v>20261217</x:v>
      </x:c>
      <x:c r="B352" s="20" t="str">
        <x:v>2026-12-17</x:v>
      </x:c>
      <x:c r="C352" s="14" t="str">
        <x:v>Thursday</x:v>
      </x:c>
      <x:c r="D352" s="14" t="n">
        <x:v>51</x:v>
      </x:c>
      <x:c r="E352" s="14" t="str">
        <x:v>December</x:v>
      </x:c>
      <x:c r="F352" s="14" t="n">
        <x:v>12</x:v>
      </x:c>
      <x:c r="G352" s="14" t="str">
        <x:v>Q4</x:v>
      </x:c>
      <x:c r="H352" s="14" t="n">
        <x:v>2026</x:v>
      </x:c>
      <x:c r="I352" s="14" t="n">
        <x:v>1</x:v>
      </x:c>
    </x:row>
    <x:row r="353">
      <x:c r="A353" s="14" t="n">
        <x:v>20261218</x:v>
      </x:c>
      <x:c r="B353" s="20" t="str">
        <x:v>2026-12-18</x:v>
      </x:c>
      <x:c r="C353" s="14" t="str">
        <x:v>Friday</x:v>
      </x:c>
      <x:c r="D353" s="14" t="n">
        <x:v>51</x:v>
      </x:c>
      <x:c r="E353" s="14" t="str">
        <x:v>December</x:v>
      </x:c>
      <x:c r="F353" s="14" t="n">
        <x:v>12</x:v>
      </x:c>
      <x:c r="G353" s="14" t="str">
        <x:v>Q4</x:v>
      </x:c>
      <x:c r="H353" s="14" t="n">
        <x:v>2026</x:v>
      </x:c>
      <x:c r="I353" s="14" t="n">
        <x:v>1</x:v>
      </x:c>
    </x:row>
    <x:row r="354">
      <x:c r="A354" s="14" t="n">
        <x:v>20261219</x:v>
      </x:c>
      <x:c r="B354" s="20" t="str">
        <x:v>2026-12-19</x:v>
      </x:c>
      <x:c r="C354" s="14" t="str">
        <x:v>Saturday</x:v>
      </x:c>
      <x:c r="D354" s="14" t="n">
        <x:v>51</x:v>
      </x:c>
      <x:c r="E354" s="14" t="str">
        <x:v>December</x:v>
      </x:c>
      <x:c r="F354" s="14" t="n">
        <x:v>12</x:v>
      </x:c>
      <x:c r="G354" s="14" t="str">
        <x:v>Q4</x:v>
      </x:c>
      <x:c r="H354" s="14" t="n">
        <x:v>2026</x:v>
      </x:c>
      <x:c r="I354" s="14" t="n">
        <x:v>0</x:v>
      </x:c>
    </x:row>
    <x:row r="355">
      <x:c r="A355" s="14" t="n">
        <x:v>20261220</x:v>
      </x:c>
      <x:c r="B355" s="20" t="str">
        <x:v>2026-12-20</x:v>
      </x:c>
      <x:c r="C355" s="14" t="str">
        <x:v>Sunday</x:v>
      </x:c>
      <x:c r="D355" s="14" t="n">
        <x:v>51</x:v>
      </x:c>
      <x:c r="E355" s="14" t="str">
        <x:v>December</x:v>
      </x:c>
      <x:c r="F355" s="14" t="n">
        <x:v>12</x:v>
      </x:c>
      <x:c r="G355" s="14" t="str">
        <x:v>Q4</x:v>
      </x:c>
      <x:c r="H355" s="14" t="n">
        <x:v>2026</x:v>
      </x:c>
      <x:c r="I355" s="14" t="n">
        <x:v>0</x:v>
      </x:c>
    </x:row>
    <x:row r="356">
      <x:c r="A356" s="14" t="n">
        <x:v>20261221</x:v>
      </x:c>
      <x:c r="B356" s="20" t="str">
        <x:v>2026-12-21</x:v>
      </x:c>
      <x:c r="C356" s="14" t="str">
        <x:v>Monday</x:v>
      </x:c>
      <x:c r="D356" s="14" t="n">
        <x:v>52</x:v>
      </x:c>
      <x:c r="E356" s="14" t="str">
        <x:v>December</x:v>
      </x:c>
      <x:c r="F356" s="14" t="n">
        <x:v>12</x:v>
      </x:c>
      <x:c r="G356" s="14" t="str">
        <x:v>Q4</x:v>
      </x:c>
      <x:c r="H356" s="14" t="n">
        <x:v>2026</x:v>
      </x:c>
      <x:c r="I356" s="14" t="n">
        <x:v>1</x:v>
      </x:c>
    </x:row>
    <x:row r="357">
      <x:c r="A357" s="14" t="n">
        <x:v>20261222</x:v>
      </x:c>
      <x:c r="B357" s="20" t="str">
        <x:v>2026-12-22</x:v>
      </x:c>
      <x:c r="C357" s="14" t="str">
        <x:v>Tuesday</x:v>
      </x:c>
      <x:c r="D357" s="14" t="n">
        <x:v>52</x:v>
      </x:c>
      <x:c r="E357" s="14" t="str">
        <x:v>December</x:v>
      </x:c>
      <x:c r="F357" s="14" t="n">
        <x:v>12</x:v>
      </x:c>
      <x:c r="G357" s="14" t="str">
        <x:v>Q4</x:v>
      </x:c>
      <x:c r="H357" s="14" t="n">
        <x:v>2026</x:v>
      </x:c>
      <x:c r="I357" s="14" t="n">
        <x:v>1</x:v>
      </x:c>
    </x:row>
    <x:row r="358">
      <x:c r="A358" s="14" t="n">
        <x:v>20261223</x:v>
      </x:c>
      <x:c r="B358" s="20" t="str">
        <x:v>2026-12-23</x:v>
      </x:c>
      <x:c r="C358" s="14" t="str">
        <x:v>Wednesday</x:v>
      </x:c>
      <x:c r="D358" s="14" t="n">
        <x:v>52</x:v>
      </x:c>
      <x:c r="E358" s="14" t="str">
        <x:v>December</x:v>
      </x:c>
      <x:c r="F358" s="14" t="n">
        <x:v>12</x:v>
      </x:c>
      <x:c r="G358" s="14" t="str">
        <x:v>Q4</x:v>
      </x:c>
      <x:c r="H358" s="14" t="n">
        <x:v>2026</x:v>
      </x:c>
      <x:c r="I358" s="14" t="n">
        <x:v>1</x:v>
      </x:c>
    </x:row>
    <x:row r="359">
      <x:c r="A359" s="14" t="n">
        <x:v>20261224</x:v>
      </x:c>
      <x:c r="B359" s="20" t="str">
        <x:v>2026-12-24</x:v>
      </x:c>
      <x:c r="C359" s="14" t="str">
        <x:v>Thursday</x:v>
      </x:c>
      <x:c r="D359" s="14" t="n">
        <x:v>52</x:v>
      </x:c>
      <x:c r="E359" s="14" t="str">
        <x:v>December</x:v>
      </x:c>
      <x:c r="F359" s="14" t="n">
        <x:v>12</x:v>
      </x:c>
      <x:c r="G359" s="14" t="str">
        <x:v>Q4</x:v>
      </x:c>
      <x:c r="H359" s="14" t="n">
        <x:v>2026</x:v>
      </x:c>
      <x:c r="I359" s="14" t="n">
        <x:v>1</x:v>
      </x:c>
    </x:row>
    <x:row r="360">
      <x:c r="A360" s="14" t="n">
        <x:v>20261225</x:v>
      </x:c>
      <x:c r="B360" s="20" t="str">
        <x:v>2026-12-25</x:v>
      </x:c>
      <x:c r="C360" s="14" t="str">
        <x:v>Friday</x:v>
      </x:c>
      <x:c r="D360" s="14" t="n">
        <x:v>52</x:v>
      </x:c>
      <x:c r="E360" s="14" t="str">
        <x:v>December</x:v>
      </x:c>
      <x:c r="F360" s="14" t="n">
        <x:v>12</x:v>
      </x:c>
      <x:c r="G360" s="14" t="str">
        <x:v>Q4</x:v>
      </x:c>
      <x:c r="H360" s="14" t="n">
        <x:v>2026</x:v>
      </x:c>
      <x:c r="I360" s="14" t="n">
        <x:v>1</x:v>
      </x:c>
    </x:row>
    <x:row r="361">
      <x:c r="A361" s="14" t="n">
        <x:v>20261226</x:v>
      </x:c>
      <x:c r="B361" s="20" t="str">
        <x:v>2026-12-26</x:v>
      </x:c>
      <x:c r="C361" s="14" t="str">
        <x:v>Saturday</x:v>
      </x:c>
      <x:c r="D361" s="14" t="n">
        <x:v>52</x:v>
      </x:c>
      <x:c r="E361" s="14" t="str">
        <x:v>December</x:v>
      </x:c>
      <x:c r="F361" s="14" t="n">
        <x:v>12</x:v>
      </x:c>
      <x:c r="G361" s="14" t="str">
        <x:v>Q4</x:v>
      </x:c>
      <x:c r="H361" s="14" t="n">
        <x:v>2026</x:v>
      </x:c>
      <x:c r="I361" s="14" t="n">
        <x:v>0</x:v>
      </x:c>
    </x:row>
    <x:row r="362">
      <x:c r="A362" s="14" t="n">
        <x:v>20261227</x:v>
      </x:c>
      <x:c r="B362" s="20" t="str">
        <x:v>2026-12-27</x:v>
      </x:c>
      <x:c r="C362" s="14" t="str">
        <x:v>Sunday</x:v>
      </x:c>
      <x:c r="D362" s="14" t="n">
        <x:v>52</x:v>
      </x:c>
      <x:c r="E362" s="14" t="str">
        <x:v>December</x:v>
      </x:c>
      <x:c r="F362" s="14" t="n">
        <x:v>12</x:v>
      </x:c>
      <x:c r="G362" s="14" t="str">
        <x:v>Q4</x:v>
      </x:c>
      <x:c r="H362" s="14" t="n">
        <x:v>2026</x:v>
      </x:c>
      <x:c r="I362" s="14" t="n">
        <x:v>0</x:v>
      </x:c>
    </x:row>
    <x:row r="363">
      <x:c r="A363" s="14" t="n">
        <x:v>20261228</x:v>
      </x:c>
      <x:c r="B363" s="20" t="str">
        <x:v>2026-12-28</x:v>
      </x:c>
      <x:c r="C363" s="14" t="str">
        <x:v>Monday</x:v>
      </x:c>
      <x:c r="D363" s="14" t="n">
        <x:v>53</x:v>
      </x:c>
      <x:c r="E363" s="14" t="str">
        <x:v>December</x:v>
      </x:c>
      <x:c r="F363" s="14" t="n">
        <x:v>12</x:v>
      </x:c>
      <x:c r="G363" s="14" t="str">
        <x:v>Q4</x:v>
      </x:c>
      <x:c r="H363" s="14" t="n">
        <x:v>2026</x:v>
      </x:c>
      <x:c r="I363" s="14" t="n">
        <x:v>1</x:v>
      </x:c>
    </x:row>
    <x:row r="364">
      <x:c r="A364" s="14" t="n">
        <x:v>20261229</x:v>
      </x:c>
      <x:c r="B364" s="20" t="str">
        <x:v>2026-12-29</x:v>
      </x:c>
      <x:c r="C364" s="14" t="str">
        <x:v>Tuesday</x:v>
      </x:c>
      <x:c r="D364" s="14" t="n">
        <x:v>53</x:v>
      </x:c>
      <x:c r="E364" s="14" t="str">
        <x:v>December</x:v>
      </x:c>
      <x:c r="F364" s="14" t="n">
        <x:v>12</x:v>
      </x:c>
      <x:c r="G364" s="14" t="str">
        <x:v>Q4</x:v>
      </x:c>
      <x:c r="H364" s="14" t="n">
        <x:v>2026</x:v>
      </x:c>
      <x:c r="I364" s="14" t="n">
        <x:v>1</x:v>
      </x:c>
    </x:row>
    <x:row r="365">
      <x:c r="A365" s="14" t="n">
        <x:v>20261230</x:v>
      </x:c>
      <x:c r="B365" s="20" t="str">
        <x:v>2026-12-30</x:v>
      </x:c>
      <x:c r="C365" s="14" t="str">
        <x:v>Wednesday</x:v>
      </x:c>
      <x:c r="D365" s="14" t="n">
        <x:v>53</x:v>
      </x:c>
      <x:c r="E365" s="14" t="str">
        <x:v>December</x:v>
      </x:c>
      <x:c r="F365" s="14" t="n">
        <x:v>12</x:v>
      </x:c>
      <x:c r="G365" s="14" t="str">
        <x:v>Q4</x:v>
      </x:c>
      <x:c r="H365" s="14" t="n">
        <x:v>2026</x:v>
      </x:c>
      <x:c r="I365" s="14" t="n">
        <x:v>1</x:v>
      </x:c>
    </x:row>
    <x:row r="366">
      <x:c r="A366" s="14" t="n">
        <x:v>20261231</x:v>
      </x:c>
      <x:c r="B366" s="20" t="str">
        <x:v>2026-12-31</x:v>
      </x:c>
      <x:c r="C366" s="14" t="str">
        <x:v>Thursday</x:v>
      </x:c>
      <x:c r="D366" s="14" t="n">
        <x:v>53</x:v>
      </x:c>
      <x:c r="E366" s="14" t="str">
        <x:v>December</x:v>
      </x:c>
      <x:c r="F366" s="14" t="n">
        <x:v>12</x:v>
      </x:c>
      <x:c r="G366" s="14" t="str">
        <x:v>Q4</x:v>
      </x:c>
      <x:c r="H366" s="14" t="n">
        <x:v>2026</x:v>
      </x:c>
      <x:c r="I366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c8b492528d048f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18" hidden="0" customWidth="1"/>
    <x:col min="3" max="3" width="22" hidden="0" customWidth="1"/>
  </x:cols>
  <x:sheetData>
    <x:row r="1">
      <x:c r="A1" s="24" t="str">
        <x:v>OPENLOOP | Operational KPI Dashboard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4">
      <x:c r="A4" s="29" t="str">
        <x:v>KPI</x:v>
      </x:c>
      <x:c r="B4" s="29" t="str">
        <x:v>Value</x:v>
      </x:c>
      <x:c r="D4" s="29" t="str">
        <x:v>Status</x:v>
      </x:c>
      <x:c r="E4" s="29" t="str">
        <x:v>Count</x:v>
      </x:c>
    </x:row>
    <x:row r="5">
      <x:c r="A5" s="32" t="str">
        <x:v>Total Commitments</x:v>
      </x:c>
      <x:c r="B5" s="36" t="n">
        <x:f>COUNTA(Promises!A2:A121)</x:f>
        <x:v>120</x:v>
      </x:c>
      <x:c r="D5" s="36" t="str">
        <x:v>Open</x:v>
      </x:c>
      <x:c r="E5" s="36" t="n">
        <x:f>COUNTIF(Promises!K2:K121,"Open")</x:f>
        <x:v>16</x:v>
      </x:c>
    </x:row>
    <x:row r="6">
      <x:c r="A6" s="32" t="str">
        <x:v>Fulfilled</x:v>
      </x:c>
      <x:c r="B6" s="36" t="n">
        <x:f>COUNTIF(Promises!K2:K121,"Fulfilled")</x:f>
        <x:v>52</x:v>
      </x:c>
      <x:c r="D6" s="36" t="str">
        <x:v>In Progress</x:v>
      </x:c>
      <x:c r="E6" s="36" t="n">
        <x:f>COUNTIF(Promises!K2:K121,"In Progress")</x:f>
        <x:v>8</x:v>
      </x:c>
    </x:row>
    <x:row r="7">
      <x:c r="A7" s="32" t="str">
        <x:v>Open / In Progress</x:v>
      </x:c>
      <x:c r="B7" s="36" t="n">
        <x:f>COUNTIF(Promises!K2:K121,"Open")+COUNTIF(Promises!K2:K121,"In Progress")</x:f>
        <x:v>24</x:v>
      </x:c>
      <x:c r="D7" s="36" t="str">
        <x:v>Fulfilled</x:v>
      </x:c>
      <x:c r="E7" s="36" t="n">
        <x:f>COUNTIF(Promises!K2:K121,"Fulfilled")</x:f>
        <x:v>52</x:v>
      </x:c>
    </x:row>
    <x:row r="8">
      <x:c r="A8" s="32" t="str">
        <x:v>Overdue / Escalated</x:v>
      </x:c>
      <x:c r="B8" s="36" t="n">
        <x:f>COUNTIF(Promises!K2:K121,"Overdue")+COUNTIF(Promises!K2:K121,"Escalated")</x:f>
        <x:v>28</x:v>
      </x:c>
      <x:c r="D8" s="36" t="str">
        <x:v>Overdue</x:v>
      </x:c>
      <x:c r="E8" s="36" t="n">
        <x:f>COUNTIF(Promises!K2:K121,"Overdue")</x:f>
        <x:v>23</x:v>
      </x:c>
    </x:row>
    <x:row r="9">
      <x:c r="A9" s="32" t="str">
        <x:v>Promise Completion Rate</x:v>
      </x:c>
      <x:c r="B9" s="34" t="n">
        <x:f>B6/B5</x:f>
        <x:v>0.43333333333333335</x:v>
      </x:c>
      <x:c r="D9" s="36" t="str">
        <x:v>Reassigned</x:v>
      </x:c>
      <x:c r="E9" s="36" t="n">
        <x:f>COUNTIF(Promises!K2:K121,"Reassigned")</x:f>
        <x:v>12</x:v>
      </x:c>
    </x:row>
    <x:row r="10">
      <x:c r="A10" s="32" t="str">
        <x:v>Broken Promise Rate</x:v>
      </x:c>
      <x:c r="B10" s="34" t="n">
        <x:f>B8/B5</x:f>
        <x:v>0.23333333333333334</x:v>
      </x:c>
      <x:c r="D10" s="36" t="str">
        <x:v>Cancelled</x:v>
      </x:c>
      <x:c r="E10" s="36" t="n">
        <x:f>COUNTIF(Promises!K2:K121,"Cancelled")</x:f>
        <x:v>4</x:v>
      </x:c>
    </x:row>
    <x:row r="11">
      <x:c r="A11" s="32" t="str">
        <x:v>Average AI Confidence</x:v>
      </x:c>
      <x:c r="B11" s="34" t="n">
        <x:f>AVERAGE(Promises!M2:M121)</x:f>
        <x:v>0.8688666666666662</x:v>
      </x:c>
      <x:c r="D11" s="36" t="str">
        <x:v>Escalated</x:v>
      </x:c>
      <x:c r="E11" s="36" t="n">
        <x:f>COUNTIF(Promises!K2:K121,"Escalated")</x:f>
        <x:v>5</x:v>
      </x:c>
    </x:row>
    <x:row r="12">
      <x:c r="A12" s="32" t="str">
        <x:v>Average Risk Score</x:v>
      </x:c>
      <x:c r="B12" s="34" t="n">
        <x:f>AVERAGE(Promises!N2:N121)</x:f>
        <x:v>0.4012833333333334</x:v>
      </x:c>
    </x:row>
    <x:row r="15">
      <x:c r="A15" s="29" t="str">
        <x:v>Department</x:v>
      </x:c>
      <x:c r="B15" s="29" t="str">
        <x:v>Total</x:v>
      </x:c>
      <x:c r="C15" s="29" t="str">
        <x:v>Fulfilled</x:v>
      </x:c>
      <x:c r="D15" s="29" t="str">
        <x:v>Overdue/Escalated</x:v>
      </x:c>
    </x:row>
    <x:row r="16">
      <x:c r="A16" s="36" t="str">
        <x:v>Product</x:v>
      </x:c>
      <x:c r="B16" s="36" t="n">
        <x:f>COUNTIF(Promises!G2:G121,"D001")</x:f>
        <x:v>15</x:v>
      </x:c>
      <x:c r="C16" s="36" t="n">
        <x:f>COUNTIFS(Promises!G2:G121,"D001",Promises!K2:K121,"Fulfilled")</x:f>
        <x:v>9</x:v>
      </x:c>
      <x:c r="D16" s="36" t="n">
        <x:f>COUNTIFS(Promises!G2:G121,"D001",Promises!K2:K121,"Overdue")+COUNTIFS(Promises!G2:G121,"D001",Promises!K2:K121,"Escalated")</x:f>
        <x:v>2</x:v>
      </x:c>
    </x:row>
    <x:row r="17">
      <x:c r="A17" s="36" t="str">
        <x:v>Engineering</x:v>
      </x:c>
      <x:c r="B17" s="36" t="n">
        <x:f>COUNTIF(Promises!G2:G121,"D002")</x:f>
        <x:v>15</x:v>
      </x:c>
      <x:c r="C17" s="36" t="n">
        <x:f>COUNTIFS(Promises!G2:G121,"D002",Promises!K2:K121,"Fulfilled")</x:f>
        <x:v>6</x:v>
      </x:c>
      <x:c r="D17" s="36" t="n">
        <x:f>COUNTIFS(Promises!G2:G121,"D002",Promises!K2:K121,"Overdue")+COUNTIFS(Promises!G2:G121,"D002",Promises!K2:K121,"Escalated")</x:f>
        <x:v>4</x:v>
      </x:c>
    </x:row>
    <x:row r="18">
      <x:c r="A18" s="36" t="str">
        <x:v>Sales</x:v>
      </x:c>
      <x:c r="B18" s="36" t="n">
        <x:f>COUNTIF(Promises!G2:G121,"D003")</x:f>
        <x:v>15</x:v>
      </x:c>
      <x:c r="C18" s="36" t="n">
        <x:f>COUNTIFS(Promises!G2:G121,"D003",Promises!K2:K121,"Fulfilled")</x:f>
        <x:v>6</x:v>
      </x:c>
      <x:c r="D18" s="36" t="n">
        <x:f>COUNTIFS(Promises!G2:G121,"D003",Promises!K2:K121,"Overdue")+COUNTIFS(Promises!G2:G121,"D003",Promises!K2:K121,"Escalated")</x:f>
        <x:v>3</x:v>
      </x:c>
    </x:row>
    <x:row r="19">
      <x:c r="A19" s="36" t="str">
        <x:v>Customer Success</x:v>
      </x:c>
      <x:c r="B19" s="36" t="n">
        <x:f>COUNTIF(Promises!G2:G121,"D004")</x:f>
        <x:v>15</x:v>
      </x:c>
      <x:c r="C19" s="36" t="n">
        <x:f>COUNTIFS(Promises!G2:G121,"D004",Promises!K2:K121,"Fulfilled")</x:f>
        <x:v>5</x:v>
      </x:c>
      <x:c r="D19" s="36" t="n">
        <x:f>COUNTIFS(Promises!G2:G121,"D004",Promises!K2:K121,"Overdue")+COUNTIFS(Promises!G2:G121,"D004",Promises!K2:K121,"Escalated")</x:f>
        <x:v>6</x:v>
      </x:c>
    </x:row>
    <x:row r="20">
      <x:c r="A20" s="36" t="str">
        <x:v>Legal</x:v>
      </x:c>
      <x:c r="B20" s="36" t="n">
        <x:f>COUNTIF(Promises!G2:G121,"D005")</x:f>
        <x:v>15</x:v>
      </x:c>
      <x:c r="C20" s="36" t="n">
        <x:f>COUNTIFS(Promises!G2:G121,"D005",Promises!K2:K121,"Fulfilled")</x:f>
        <x:v>5</x:v>
      </x:c>
      <x:c r="D20" s="36" t="n">
        <x:f>COUNTIFS(Promises!G2:G121,"D005",Promises!K2:K121,"Overdue")+COUNTIFS(Promises!G2:G121,"D005",Promises!K2:K121,"Escalated")</x:f>
        <x:v>4</x:v>
      </x:c>
    </x:row>
    <x:row r="21">
      <x:c r="A21" s="36" t="str">
        <x:v>Finance</x:v>
      </x:c>
      <x:c r="B21" s="36" t="n">
        <x:f>COUNTIF(Promises!G2:G121,"D006")</x:f>
        <x:v>15</x:v>
      </x:c>
      <x:c r="C21" s="36" t="n">
        <x:f>COUNTIFS(Promises!G2:G121,"D006",Promises!K2:K121,"Fulfilled")</x:f>
        <x:v>7</x:v>
      </x:c>
      <x:c r="D21" s="36" t="n">
        <x:f>COUNTIFS(Promises!G2:G121,"D006",Promises!K2:K121,"Overdue")+COUNTIFS(Promises!G2:G121,"D006",Promises!K2:K121,"Escalated")</x:f>
        <x:v>3</x:v>
      </x:c>
    </x:row>
    <x:row r="22">
      <x:c r="A22" s="36" t="str">
        <x:v>Human Resources</x:v>
      </x:c>
      <x:c r="B22" s="36" t="n">
        <x:f>COUNTIF(Promises!G2:G121,"D007")</x:f>
        <x:v>15</x:v>
      </x:c>
      <x:c r="C22" s="36" t="n">
        <x:f>COUNTIFS(Promises!G2:G121,"D007",Promises!K2:K121,"Fulfilled")</x:f>
        <x:v>7</x:v>
      </x:c>
      <x:c r="D22" s="36" t="n">
        <x:f>COUNTIFS(Promises!G2:G121,"D007",Promises!K2:K121,"Overdue")+COUNTIFS(Promises!G2:G121,"D007",Promises!K2:K121,"Escalated")</x:f>
        <x:v>3</x:v>
      </x:c>
    </x:row>
    <x:row r="23">
      <x:c r="A23" s="36" t="str">
        <x:v>Operations</x:v>
      </x:c>
      <x:c r="B23" s="36" t="n">
        <x:f>COUNTIF(Promises!G2:G121,"D008")</x:f>
        <x:v>15</x:v>
      </x:c>
      <x:c r="C23" s="36" t="n">
        <x:f>COUNTIFS(Promises!G2:G121,"D008",Promises!K2:K121,"Fulfilled")</x:f>
        <x:v>7</x:v>
      </x:c>
      <x:c r="D23" s="36" t="n">
        <x:f>COUNTIFS(Promises!G2:G121,"D008",Promises!K2:K121,"Overdue")+COUNTIFS(Promises!G2:G121,"D008",Promises!K2:K121,"Escalated")</x:f>
        <x:v>3</x:v>
      </x:c>
    </x:row>
    <x:row r="24">
      <x:c r="A24" s="36"/>
      <x:c r="B24" s="36"/>
      <x:c r="C24" s="36"/>
      <x:c r="D24" s="36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359a05f2bb74575"/>
</x:worksheet>
</file>